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" sheetId="1" state="visible" r:id="rId3"/>
    <sheet name="rasgos" sheetId="2" state="visible" r:id="rId4"/>
    <sheet name="coord" sheetId="3" state="visible" r:id="rId5"/>
    <sheet name="amb" sheetId="4" state="visible" r:id="rId6"/>
    <sheet name="rasgos_extra" sheetId="5" state="visible" r:id="rId7"/>
    <sheet name="tax_agregada" sheetId="6" state="visible" r:id="rId8"/>
    <sheet name="amb_anexoC" sheetId="7" state="visible" r:id="rId9"/>
    <sheet name="not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<sst xmlns="http://schemas.openxmlformats.org/spreadsheetml/2006/main" count="1394" uniqueCount="289">
  <si>
    <t xml:space="preserve">Sites</t>
  </si>
  <si>
    <t xml:space="preserve">Sites1</t>
  </si>
  <si>
    <t xml:space="preserve">Canthidium aff. lebasi</t>
  </si>
  <si>
    <t xml:space="preserve">Canthon acutus</t>
  </si>
  <si>
    <t xml:space="preserve">Canthon aequinoctialis</t>
  </si>
  <si>
    <t xml:space="preserve">Canthon aff. juvencus</t>
  </si>
  <si>
    <t xml:space="preserve">Canthon cyanellus sallei</t>
  </si>
  <si>
    <t xml:space="preserve">Canthon mutabilis</t>
  </si>
  <si>
    <t xml:space="preserve">Canthon septemmaculatus</t>
  </si>
  <si>
    <t xml:space="preserve">Canthon subhyalinus</t>
  </si>
  <si>
    <t xml:space="preserve">Coprophanaeus gamezi</t>
  </si>
  <si>
    <t xml:space="preserve">Deltochilum guildingii</t>
  </si>
  <si>
    <t xml:space="preserve">Dichotomius aff. agenor</t>
  </si>
  <si>
    <t xml:space="preserve">Eurysternus impressicollis</t>
  </si>
  <si>
    <t xml:space="preserve">Eurysternus mexicanus</t>
  </si>
  <si>
    <t xml:space="preserve">Malagoniella aff. astyanax</t>
  </si>
  <si>
    <t xml:space="preserve">Onthophagus acuminatus</t>
  </si>
  <si>
    <t xml:space="preserve">Onthophagus lebasi</t>
  </si>
  <si>
    <t xml:space="preserve">Onthophagus marginicollis</t>
  </si>
  <si>
    <t xml:space="preserve">Phanaeus hermes</t>
  </si>
  <si>
    <t xml:space="preserve">Scatimus ovatus</t>
  </si>
  <si>
    <t xml:space="preserve">Trichillidium pilosum</t>
  </si>
  <si>
    <t xml:space="preserve">Uroxys sp.</t>
  </si>
  <si>
    <t xml:space="preserve">BSpe1_LL_01</t>
  </si>
  <si>
    <t xml:space="preserve">BSpe1</t>
  </si>
  <si>
    <t xml:space="preserve">BSpe1_LL_02</t>
  </si>
  <si>
    <t xml:space="preserve">BSpe1_LL_03</t>
  </si>
  <si>
    <t xml:space="preserve">BSpe1_LL_04</t>
  </si>
  <si>
    <t xml:space="preserve">BSpe1_LL_05</t>
  </si>
  <si>
    <t xml:space="preserve">BSpe1_LL_06</t>
  </si>
  <si>
    <t xml:space="preserve">BSpe1_LL_07</t>
  </si>
  <si>
    <t xml:space="preserve">BSpe1_LL_08</t>
  </si>
  <si>
    <t xml:space="preserve">BSpe1_LL_09</t>
  </si>
  <si>
    <t xml:space="preserve">BSpe1_LL_10</t>
  </si>
  <si>
    <t xml:space="preserve">BSpe1_SE_01</t>
  </si>
  <si>
    <t xml:space="preserve">BSpe1_SE_02</t>
  </si>
  <si>
    <t xml:space="preserve">BSpe1_SE_03</t>
  </si>
  <si>
    <t xml:space="preserve">BSpe1_SE_04</t>
  </si>
  <si>
    <t xml:space="preserve">BSpe1_SE_05</t>
  </si>
  <si>
    <t xml:space="preserve">BSpe1_SE_06</t>
  </si>
  <si>
    <t xml:space="preserve">BSpe1_SE_07</t>
  </si>
  <si>
    <t xml:space="preserve">BSpe1_SE_08</t>
  </si>
  <si>
    <t xml:space="preserve">BSpe1_SE_09</t>
  </si>
  <si>
    <t xml:space="preserve">BSpe1_SE_10</t>
  </si>
  <si>
    <t xml:space="preserve">BSpe2_LL_01</t>
  </si>
  <si>
    <t xml:space="preserve">BSpe2</t>
  </si>
  <si>
    <t xml:space="preserve">BSpe2_LL_02</t>
  </si>
  <si>
    <t xml:space="preserve">BSpe2_LL_03</t>
  </si>
  <si>
    <t xml:space="preserve">BSpe2_LL_04</t>
  </si>
  <si>
    <t xml:space="preserve">BSpe2_LL_05</t>
  </si>
  <si>
    <t xml:space="preserve">BSpe2_LL_06</t>
  </si>
  <si>
    <t xml:space="preserve">BSpe2_LL_07</t>
  </si>
  <si>
    <t xml:space="preserve">BSpe2_LL_08</t>
  </si>
  <si>
    <t xml:space="preserve">BSpe2_LL_09</t>
  </si>
  <si>
    <t xml:space="preserve">BSpe2_LL_10</t>
  </si>
  <si>
    <t xml:space="preserve">BSpe2_SE_01</t>
  </si>
  <si>
    <t xml:space="preserve">BSpe2_SE_02</t>
  </si>
  <si>
    <t xml:space="preserve">BSpe2_SE_03</t>
  </si>
  <si>
    <t xml:space="preserve">BSpe2_SE_04</t>
  </si>
  <si>
    <t xml:space="preserve">BSpe2_SE_05</t>
  </si>
  <si>
    <t xml:space="preserve">BSpe2_SE_08</t>
  </si>
  <si>
    <t xml:space="preserve">BSpe2_SE_09</t>
  </si>
  <si>
    <t xml:space="preserve">BSpe2_SE_10</t>
  </si>
  <si>
    <t xml:space="preserve">PL_LL_01</t>
  </si>
  <si>
    <t xml:space="preserve">PL</t>
  </si>
  <si>
    <t xml:space="preserve">PL_LL_02</t>
  </si>
  <si>
    <t xml:space="preserve">PL_LL_03</t>
  </si>
  <si>
    <t xml:space="preserve">PL_LL_06</t>
  </si>
  <si>
    <t xml:space="preserve">PL_LL_07</t>
  </si>
  <si>
    <t xml:space="preserve">PL_LL_10</t>
  </si>
  <si>
    <t xml:space="preserve">PL_SE_01</t>
  </si>
  <si>
    <t xml:space="preserve">PL_SE_02</t>
  </si>
  <si>
    <t xml:space="preserve">PL_SE_03</t>
  </si>
  <si>
    <t xml:space="preserve">PL_SE_04</t>
  </si>
  <si>
    <t xml:space="preserve">PL_SE_05</t>
  </si>
  <si>
    <t xml:space="preserve">PL_SE_06</t>
  </si>
  <si>
    <t xml:space="preserve">PL_SE_08</t>
  </si>
  <si>
    <t xml:space="preserve">PL_SE_10</t>
  </si>
  <si>
    <t xml:space="preserve">BSpl_LL_01</t>
  </si>
  <si>
    <t xml:space="preserve">BSpl</t>
  </si>
  <si>
    <t xml:space="preserve">BSpl_LL_02</t>
  </si>
  <si>
    <t xml:space="preserve">BSpl_LL_03</t>
  </si>
  <si>
    <t xml:space="preserve">BSpl_LL_04</t>
  </si>
  <si>
    <t xml:space="preserve">BSpl_LL_05</t>
  </si>
  <si>
    <t xml:space="preserve">BSpl_LL_06</t>
  </si>
  <si>
    <t xml:space="preserve">BSpl_LL_07</t>
  </si>
  <si>
    <t xml:space="preserve">BSpl_LL_08</t>
  </si>
  <si>
    <t xml:space="preserve">BSpl_LL_09</t>
  </si>
  <si>
    <t xml:space="preserve">BSpl_LL_10</t>
  </si>
  <si>
    <t xml:space="preserve">BSpl_SE_01</t>
  </si>
  <si>
    <t xml:space="preserve">BSpl_SE_02</t>
  </si>
  <si>
    <t xml:space="preserve">BSpl_SE_03</t>
  </si>
  <si>
    <t xml:space="preserve">BSpl_SE_04</t>
  </si>
  <si>
    <t xml:space="preserve">BSpl_SE_05</t>
  </si>
  <si>
    <t xml:space="preserve">BSpl_SE_06</t>
  </si>
  <si>
    <t xml:space="preserve">BSpl_SE_07</t>
  </si>
  <si>
    <t xml:space="preserve">BSpl_SE_08</t>
  </si>
  <si>
    <t xml:space="preserve">BSpl_SE_09</t>
  </si>
  <si>
    <t xml:space="preserve">BSpl_SE_10</t>
  </si>
  <si>
    <t xml:space="preserve">Abrev</t>
  </si>
  <si>
    <t xml:space="preserve">LatinName</t>
  </si>
  <si>
    <t xml:space="preserve">NombreCompleto</t>
  </si>
  <si>
    <t xml:space="preserve">Cod_tesis</t>
  </si>
  <si>
    <t xml:space="preserve">Family</t>
  </si>
  <si>
    <t xml:space="preserve">Guild</t>
  </si>
  <si>
    <t xml:space="preserve">Diet</t>
  </si>
  <si>
    <t xml:space="preserve">tunneler</t>
  </si>
  <si>
    <t xml:space="preserve">roller</t>
  </si>
  <si>
    <t xml:space="preserve">dweller</t>
  </si>
  <si>
    <t xml:space="preserve">coprophagous</t>
  </si>
  <si>
    <t xml:space="preserve">copro_necrophagous</t>
  </si>
  <si>
    <t xml:space="preserve">Cntl</t>
  </si>
  <si>
    <t xml:space="preserve">Canthidium aff. lebasi (Harold, 1867)</t>
  </si>
  <si>
    <t xml:space="preserve">a</t>
  </si>
  <si>
    <t xml:space="preserve">Scarabaeidae</t>
  </si>
  <si>
    <t xml:space="preserve">cavador (paracóprido)</t>
  </si>
  <si>
    <t xml:space="preserve">copro-necrófaga</t>
  </si>
  <si>
    <t xml:space="preserve">Cnta</t>
  </si>
  <si>
    <t xml:space="preserve">Canthon acutus (Harold, 1868)</t>
  </si>
  <si>
    <t xml:space="preserve">b</t>
  </si>
  <si>
    <t xml:space="preserve">rodador (telecóprido)</t>
  </si>
  <si>
    <t xml:space="preserve">Cntae</t>
  </si>
  <si>
    <t xml:space="preserve">Canthon aequinoctialis (Harold, 1868)</t>
  </si>
  <si>
    <t xml:space="preserve">c</t>
  </si>
  <si>
    <t xml:space="preserve">Cntj</t>
  </si>
  <si>
    <t xml:space="preserve">Canthon aff. juvencus (Harold, 1868)</t>
  </si>
  <si>
    <t xml:space="preserve">d</t>
  </si>
  <si>
    <t xml:space="preserve">Cnts</t>
  </si>
  <si>
    <t xml:space="preserve">Canthon cyanellus sallei (Harold, 1863)</t>
  </si>
  <si>
    <t xml:space="preserve">e</t>
  </si>
  <si>
    <t xml:space="preserve">Cntm</t>
  </si>
  <si>
    <t xml:space="preserve">Canthon mutabilis (Lucas, 1857)</t>
  </si>
  <si>
    <t xml:space="preserve">f</t>
  </si>
  <si>
    <t xml:space="preserve">Cntse</t>
  </si>
  <si>
    <t xml:space="preserve">Canthon septemmaculatus (Latreille, 1811)</t>
  </si>
  <si>
    <t xml:space="preserve">g</t>
  </si>
  <si>
    <t xml:space="preserve">Cntsu</t>
  </si>
  <si>
    <t xml:space="preserve">Canthon subhyalinus (Harold, 1867)</t>
  </si>
  <si>
    <t xml:space="preserve">h</t>
  </si>
  <si>
    <t xml:space="preserve">coprófaga</t>
  </si>
  <si>
    <t xml:space="preserve">Cprg</t>
  </si>
  <si>
    <t xml:space="preserve">Coprophanaeus gamezi (Arnaud, 2002)</t>
  </si>
  <si>
    <t xml:space="preserve">i</t>
  </si>
  <si>
    <t xml:space="preserve">Dltg</t>
  </si>
  <si>
    <t xml:space="preserve">Deltochilum guildingii (Westwood, 1835)</t>
  </si>
  <si>
    <t xml:space="preserve">j</t>
  </si>
  <si>
    <t xml:space="preserve">Dcha</t>
  </si>
  <si>
    <t xml:space="preserve">Dichotomius aff. agenor (Harold, 1869)</t>
  </si>
  <si>
    <t xml:space="preserve">k</t>
  </si>
  <si>
    <t xml:space="preserve">Eryi</t>
  </si>
  <si>
    <t xml:space="preserve">Eurysternus impressicollis (Castelnau, 1840)</t>
  </si>
  <si>
    <t xml:space="preserve">l</t>
  </si>
  <si>
    <t xml:space="preserve">endocóprido (residente)</t>
  </si>
  <si>
    <t xml:space="preserve">Erym</t>
  </si>
  <si>
    <t xml:space="preserve">Eurysternus mexicanus (Harold, 1869)</t>
  </si>
  <si>
    <t xml:space="preserve">m</t>
  </si>
  <si>
    <t xml:space="preserve">Mlga</t>
  </si>
  <si>
    <t xml:space="preserve">Malagoniella aff. astyanax (Harold, 1867)</t>
  </si>
  <si>
    <t xml:space="preserve">n</t>
  </si>
  <si>
    <t xml:space="preserve">Onta</t>
  </si>
  <si>
    <t xml:space="preserve">Onthophagus acuminatus (Harold, 1880)</t>
  </si>
  <si>
    <t xml:space="preserve">o</t>
  </si>
  <si>
    <t xml:space="preserve">Ontl</t>
  </si>
  <si>
    <t xml:space="preserve">Onthophagus lebasi (Boucomont, 1932)</t>
  </si>
  <si>
    <t xml:space="preserve">p</t>
  </si>
  <si>
    <t xml:space="preserve">Ontm</t>
  </si>
  <si>
    <t xml:space="preserve">Onthophagus marginicollis (Harold, 1880)</t>
  </si>
  <si>
    <t xml:space="preserve">q</t>
  </si>
  <si>
    <t xml:space="preserve">Phnh</t>
  </si>
  <si>
    <t xml:space="preserve">Phanaeus hermes (Harold, 1868)</t>
  </si>
  <si>
    <t xml:space="preserve">r</t>
  </si>
  <si>
    <t xml:space="preserve">Scto</t>
  </si>
  <si>
    <t xml:space="preserve">Scatimus ovatus (Harold, 1862)</t>
  </si>
  <si>
    <t xml:space="preserve">s</t>
  </si>
  <si>
    <t xml:space="preserve">Trcp</t>
  </si>
  <si>
    <t xml:space="preserve">Trichillidium pilosum (Robinson, 1948)</t>
  </si>
  <si>
    <t xml:space="preserve">t</t>
  </si>
  <si>
    <t xml:space="preserve">Urxs</t>
  </si>
  <si>
    <t xml:space="preserve">u</t>
  </si>
  <si>
    <t xml:space="preserve">Code</t>
  </si>
  <si>
    <t xml:space="preserve">Fragment</t>
  </si>
  <si>
    <t xml:space="preserve">Season</t>
  </si>
  <si>
    <t xml:space="preserve">Trap</t>
  </si>
  <si>
    <t xml:space="preserve">Longitude</t>
  </si>
  <si>
    <t xml:space="preserve">Latitude</t>
  </si>
  <si>
    <t xml:space="preserve">Altitude_min_m</t>
  </si>
  <si>
    <t xml:space="preserve">Altitude_max_m</t>
  </si>
  <si>
    <t xml:space="preserve">LL</t>
  </si>
  <si>
    <t xml:space="preserve">SE</t>
  </si>
  <si>
    <t xml:space="preserve">Zone1</t>
  </si>
  <si>
    <t xml:space="preserve">Bait</t>
  </si>
  <si>
    <t xml:space="preserve">Area_ha</t>
  </si>
  <si>
    <t xml:space="preserve">Perimeter_m</t>
  </si>
  <si>
    <t xml:space="preserve">Shape_index</t>
  </si>
  <si>
    <t xml:space="preserve">Canopy_pct</t>
  </si>
  <si>
    <t xml:space="preserve">Soil_texture</t>
  </si>
  <si>
    <t xml:space="preserve">Soil_moisture_pct</t>
  </si>
  <si>
    <t xml:space="preserve">pH</t>
  </si>
  <si>
    <t xml:space="preserve">Soil_temp_C</t>
  </si>
  <si>
    <t xml:space="preserve">Conductivity_mScm</t>
  </si>
  <si>
    <t xml:space="preserve">TDS_ppm</t>
  </si>
  <si>
    <t xml:space="preserve">Air_temp_C</t>
  </si>
  <si>
    <t xml:space="preserve">Rel_humidity_pct</t>
  </si>
  <si>
    <t xml:space="preserve">Litter_cover_pct</t>
  </si>
  <si>
    <t xml:space="preserve">Litter_depth</t>
  </si>
  <si>
    <t xml:space="preserve">Light_lux</t>
  </si>
  <si>
    <t xml:space="preserve">excremento humano</t>
  </si>
  <si>
    <t xml:space="preserve">FArA</t>
  </si>
  <si>
    <t xml:space="preserve">pescado en descomposición</t>
  </si>
  <si>
    <t xml:space="preserve">Ar</t>
  </si>
  <si>
    <t xml:space="preserve">N_total</t>
  </si>
  <si>
    <t xml:space="preserve">N_trampas_excremento</t>
  </si>
  <si>
    <t xml:space="preserve">N_trampas_pescado</t>
  </si>
  <si>
    <t xml:space="preserve">Pref_pescado</t>
  </si>
  <si>
    <t xml:space="preserve">BSpe1_LL</t>
  </si>
  <si>
    <t xml:space="preserve">BSpe1_SE</t>
  </si>
  <si>
    <t xml:space="preserve">BSpe2_LL</t>
  </si>
  <si>
    <t xml:space="preserve">BSpe2_SE</t>
  </si>
  <si>
    <t xml:space="preserve">PL_LL</t>
  </si>
  <si>
    <t xml:space="preserve">PL_SE</t>
  </si>
  <si>
    <t xml:space="preserve">BSpl_LL</t>
  </si>
  <si>
    <t xml:space="preserve">BSpl_SE</t>
  </si>
  <si>
    <t xml:space="preserve">T</t>
  </si>
  <si>
    <t xml:space="preserve">Escarabajos coprófagos (Scarabaeinae) de fragmentos de bosque seco en Chimichagua (Cesar, Caribe colombiano): datos de Delgado (2012) en el formato del taller</t>
  </si>
  <si>
    <t xml:space="preserve">1. Fuente y créditos</t>
  </si>
  <si>
    <t xml:space="preserve">Delgado Gómez, P. (2012). Influencia del hábitat sobre el ensamblaje de escarabajos coprófagos (Scarabaeidae: Scarabaeinae) en bosques secos en el municipio de Chimichagua (Cesar). Tesis de Maestría en Ciencias Biológicas, Universidad Nacional de Colombia, Bogotá (director: A. Lopera-Toro; codirector: J. O. Rangel-Ch.). Datos tomados de la Tabla 2-1 y de los Anexos B y C. La licencia de uso debe confirmarse en el repositorio institucional; en todo caso, debe citarse la tesis.</t>
  </si>
  <si>
    <t xml:space="preserve">2. Hojas del libro</t>
  </si>
  <si>
    <t xml:space="preserve">Hoja</t>
  </si>
  <si>
    <t xml:space="preserve">Contenido</t>
  </si>
  <si>
    <t xml:space="preserve">tax</t>
  </si>
  <si>
    <t xml:space="preserve">Matriz trampa × especie (72 × 21). Sites = fragmento_época_trampa; Sites1 = fragmento. Conteos del Anexo B.</t>
  </si>
  <si>
    <t xml:space="preserve">rasgos</t>
  </si>
  <si>
    <t xml:space="preserve">21 especies en el mismo orden que tax: gremio de relocalización del recurso y hábito alimentario (coprófago o copro-necrófago), con columnas binarias de una sola categoría por rasgo.</t>
  </si>
  <si>
    <t xml:space="preserve">coord</t>
  </si>
  <si>
    <t xml:space="preserve">Coordenadas del fragmento de cada trampa, en el mismo orden que tax.</t>
  </si>
  <si>
    <t xml:space="preserve">amb</t>
  </si>
  <si>
    <t xml:space="preserve">Variables de cada trampa y de su fragmento: época, cebo (inferido), área, forma, textura, cobertura arbórea y promedios ambientales del Anexo C por fragmento y época. Mismo orden que tax.</t>
  </si>
  <si>
    <t xml:space="preserve">rasgos_extra</t>
  </si>
  <si>
    <t xml:space="preserve">Preferencia por el cebo de pescado, derivada del Anexo B (depende del supuesto sobre el cebo).</t>
  </si>
  <si>
    <t xml:space="preserve">tax_agregada</t>
  </si>
  <si>
    <t xml:space="preserve">Matriz fragmento × época × especie (8 × 21): equivale a la Tabla 2-1.</t>
  </si>
  <si>
    <t xml:space="preserve">amb_anexoC</t>
  </si>
  <si>
    <t xml:space="preserve">Valores originales del Anexo C por posición de muestreo (T = 1–20), fragmento y época.</t>
  </si>
  <si>
    <t xml:space="preserve">3. Cómo se construyó</t>
  </si>
  <si>
    <t xml:space="preserve">• Se extrajeron las tablas directamente del PDF y se verificó que la suma de las trampas del Anexo B coincide, celda por celda, con la Tabla 2-1 (0 diferencias en 168 celdas) y con las cifras del texto: 7 939 individuos, porcentajes por especie y por fragmento, riqueza por fragmento, diversidad de Shannon de BSpe2 (1.959) e individuos por gremio.</t>
  </si>
  <si>
    <t xml:space="preserve">• Unidad de muestreo: trampa × época × fragmento. Hay 72 unidades y no 80 porque en PL (lluvia: 6 de 10; seca: 8 de 10) y en BSpe2 (seca: 8 de 10) faltan trampas en el Anexo B.</t>
  </si>
  <si>
    <t xml:space="preserve">• El Anexo B da un solo valor por trampa y época. La tesis describe cuatro salidas (dos por época) sin indicar si se sumaron.</t>
  </si>
  <si>
    <t xml:space="preserve">• Cebo (inferencia por confirmar): el Anexo B no lo indica. Se asignó excremento humano a las trampas 1–5 y pescado en descomposición a las 6–10, según el diseño descrito (dos transectos de cinco trampas). Evidencia a favor: las 7 especies que la tesis clasifica como coprófagas son exactamente las que no aparecen nunca en las trampas 6–10, y C. gamezi suma 4 individuos en ellas, como dice el texto. Discrepancia: C. cyanellus sallei suma 265 en las trampas 6–10 y el texto dice 295.</t>
  </si>
  <si>
    <t xml:space="preserve">• Coordenadas: la tesis solo da las de cada fragmento (grados, minutos y segundos, convertidos a decimales). Todas las trampas de un fragmento comparten esas coordenadas.</t>
  </si>
  <si>
    <t xml:space="preserve">• Ambiente: el Anexo C tiene 20 posiciones (T) por fragmento, mientras el Anexo B tiene 10 trampas; no se pudo asociar cada T con una trampa. Por eso amb trae promedios por fragmento y época; los valores originales están en amb_anexoC. En PL durante la lluvia solo hay datos para T = 1–10.</t>
  </si>
  <si>
    <t xml:space="preserve">• Rasgos: el gremio de relocalización (cavador, rodador, endocóprido) sale de la Tabla 2-1, y el hábito alimentario (7 especies coprófagas, 14 copro-necrófagas) del texto de la tesis. La preferencia por el pescado es la proporción entre el promedio de individuos por trampa de pescado y la suma de los promedios por trampa de ambos cebos.</t>
  </si>
  <si>
    <t xml:space="preserve">• Nombres: se conservan los de la tesis, que incluye morfoespecies (aff., sp.). En un estudio posterior en Sucre, Canthon aequinoctialis figura como Silvicanthon aequinoctialis; conviene validar los nombres con una base taxonómica.</t>
  </si>
  <si>
    <t xml:space="preserve">4. Advertencias</t>
  </si>
  <si>
    <t xml:space="preserve">• No hay rasgos cuantitativos en la tesis (ni siquiera tamaño corporal): para completar el mínimo de dos cuantitativos y dos categóricos hay que aportar rasgos de otra fuente. Pref_pescado es un valor derivado, no medido.</t>
  </si>
  <si>
    <t xml:space="preserve">• Son cuatro fragmentos sin réplica por hábitat y con áreas muy distintas (2.34 a 897 ha): el efecto del hábitat se confunde con el del tamaño, y las trampas de un mismo fragmento son pseudorréplicas.</t>
  </si>
  <si>
    <t xml:space="preserve">• El esfuerzo es desigual (72 de 80 trampas; 38 con excremento y 34 con pescado), por lo que conviene estandarizar por trampa.</t>
  </si>
  <si>
    <t xml:space="preserve">• Inconsistencias en la tesis: la Tabla 3-3 da 177 individuos para PL, frente a 137 en la Tabla 2-1 y el Anexo B; el resumen en inglés habla de 10 trampas con excremento humano, mientras los métodos describen dos cebos; el área de PL figura como 54 ha en el texto y 54.67 ha en la Tabla 3-2.</t>
  </si>
  <si>
    <t xml:space="preserve">• Unidades no documentadas en el Anexo C: profundidad de hojarasca (probablemente cm). La conductividad figura en «ms/cm» y la humedad del suelo llega a 116.67 %, valor posible si se expresa sobre peso seco.</t>
  </si>
  <si>
    <t xml:space="preserve">• Solo 16 de las 21 especies están identificadas a nivel de especie sin reservas: hay cuatro con aff. y una sp..</t>
  </si>
  <si>
    <t xml:space="preserve">5. Verificaciones y cifras (calculadas con fórmulas)</t>
  </si>
  <si>
    <t xml:space="preserve">Indicador</t>
  </si>
  <si>
    <t xml:space="preserve">Valor</t>
  </si>
  <si>
    <t xml:space="preserve">Nota</t>
  </si>
  <si>
    <t xml:space="preserve">Unidades de muestreo en tax</t>
  </si>
  <si>
    <t xml:space="preserve">Trampas con registro en el Anexo B.</t>
  </si>
  <si>
    <t xml:space="preserve">Especies en tax</t>
  </si>
  <si>
    <t xml:space="preserve">Especies en rasgos</t>
  </si>
  <si>
    <t xml:space="preserve">Individuos en tax</t>
  </si>
  <si>
    <t xml:space="preserve">Coincide con el total de la tesis (7 939).</t>
  </si>
  <si>
    <t xml:space="preserve">Individuos en tax_agregada</t>
  </si>
  <si>
    <t xml:space="preserve">tax y tax_agregada suman lo mismo</t>
  </si>
  <si>
    <t xml:space="preserve">Trampas BSpe1 (lluvia)</t>
  </si>
  <si>
    <t xml:space="preserve">Trampas BSpe1 (seca)</t>
  </si>
  <si>
    <t xml:space="preserve">Trampas BSpe2 (lluvia)</t>
  </si>
  <si>
    <t xml:space="preserve">Trampas BSpe2 (seca)</t>
  </si>
  <si>
    <t xml:space="preserve">Trampas PL (lluvia)</t>
  </si>
  <si>
    <t xml:space="preserve">Trampas PL (seca)</t>
  </si>
  <si>
    <t xml:space="preserve">Trampas BSpl (lluvia)</t>
  </si>
  <si>
    <t xml:space="preserve">Trampas BSpl (seca)</t>
  </si>
  <si>
    <t xml:space="preserve">Especies cavadoras</t>
  </si>
  <si>
    <t xml:space="preserve">Tesis: 10.</t>
  </si>
  <si>
    <t xml:space="preserve">Especies rodadoras</t>
  </si>
  <si>
    <t xml:space="preserve">Tesis: 9.</t>
  </si>
  <si>
    <t xml:space="preserve">Especies endocópridas</t>
  </si>
  <si>
    <t xml:space="preserve">Tesis: 2.</t>
  </si>
  <si>
    <t xml:space="preserve">Especies coprófagas</t>
  </si>
  <si>
    <t xml:space="preserve">Tesis: 7.</t>
  </si>
  <si>
    <t xml:space="preserve">Especies copro-necrófagas</t>
  </si>
  <si>
    <t xml:space="preserve">Tesis: 14.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</si>
</sst>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0"/>
    <numFmt numFmtId="167" formatCode="0"/>
    <numFmt numFmtId="168" formatCode="0.000"/>
    <numFmt numFmtId="169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23" min="3" style="0" width="13"/>
  </cols>
  <sheetData>
    <row r="1" customFormat="false" ht="5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n">
        <v>5</v>
      </c>
      <c r="D2" s="2" t="n">
        <v>6</v>
      </c>
      <c r="E2" s="2" t="n">
        <v>0</v>
      </c>
      <c r="F2" s="2" t="n">
        <v>0</v>
      </c>
      <c r="G2" s="2" t="n">
        <v>2</v>
      </c>
      <c r="H2" s="2" t="n">
        <v>0</v>
      </c>
      <c r="I2" s="2" t="n">
        <v>3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0</v>
      </c>
      <c r="O2" s="2" t="n">
        <v>0</v>
      </c>
      <c r="P2" s="2" t="n">
        <v>0</v>
      </c>
      <c r="Q2" s="2" t="n">
        <v>5</v>
      </c>
      <c r="R2" s="2" t="n">
        <v>12</v>
      </c>
      <c r="S2" s="2" t="n">
        <v>11</v>
      </c>
      <c r="T2" s="2" t="n">
        <v>5</v>
      </c>
      <c r="U2" s="2" t="n">
        <v>0</v>
      </c>
      <c r="V2" s="2" t="n">
        <v>0</v>
      </c>
      <c r="W2" s="2" t="n">
        <v>4</v>
      </c>
    </row>
    <row r="3" customFormat="false" ht="15" hidden="false" customHeight="false" outlineLevel="0" collapsed="false">
      <c r="A3" s="2" t="s">
        <v>25</v>
      </c>
      <c r="B3" s="2" t="s">
        <v>24</v>
      </c>
      <c r="C3" s="2" t="n">
        <v>3</v>
      </c>
      <c r="D3" s="2" t="n">
        <v>3</v>
      </c>
      <c r="E3" s="2" t="n">
        <v>0</v>
      </c>
      <c r="F3" s="2" t="n">
        <v>0</v>
      </c>
      <c r="G3" s="2" t="n">
        <v>3</v>
      </c>
      <c r="H3" s="2" t="n">
        <v>0</v>
      </c>
      <c r="I3" s="2" t="n">
        <v>3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3</v>
      </c>
      <c r="S3" s="2" t="n">
        <v>4</v>
      </c>
      <c r="T3" s="2" t="n">
        <v>0</v>
      </c>
      <c r="U3" s="2" t="n">
        <v>0</v>
      </c>
      <c r="V3" s="2" t="n">
        <v>0</v>
      </c>
      <c r="W3" s="2" t="n">
        <v>6</v>
      </c>
    </row>
    <row r="4" customFormat="false" ht="15" hidden="false" customHeight="false" outlineLevel="0" collapsed="false">
      <c r="A4" s="2" t="s">
        <v>26</v>
      </c>
      <c r="B4" s="2" t="s">
        <v>24</v>
      </c>
      <c r="C4" s="2" t="n">
        <v>13</v>
      </c>
      <c r="D4" s="2" t="n">
        <v>21</v>
      </c>
      <c r="E4" s="2" t="n">
        <v>0</v>
      </c>
      <c r="F4" s="2" t="n">
        <v>3</v>
      </c>
      <c r="G4" s="2" t="n">
        <v>6</v>
      </c>
      <c r="H4" s="2" t="n">
        <v>0</v>
      </c>
      <c r="I4" s="2" t="n">
        <v>9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5</v>
      </c>
      <c r="R4" s="2" t="n">
        <v>19</v>
      </c>
      <c r="S4" s="2" t="n">
        <v>6</v>
      </c>
      <c r="T4" s="2" t="n">
        <v>7</v>
      </c>
      <c r="U4" s="2" t="n">
        <v>0</v>
      </c>
      <c r="V4" s="2" t="n">
        <v>0</v>
      </c>
      <c r="W4" s="2" t="n">
        <v>16</v>
      </c>
    </row>
    <row r="5" customFormat="false" ht="15" hidden="false" customHeight="false" outlineLevel="0" collapsed="false">
      <c r="A5" s="2" t="s">
        <v>27</v>
      </c>
      <c r="B5" s="2" t="s">
        <v>24</v>
      </c>
      <c r="C5" s="2" t="n">
        <v>22</v>
      </c>
      <c r="D5" s="2" t="n">
        <v>24</v>
      </c>
      <c r="E5" s="2" t="n">
        <v>0</v>
      </c>
      <c r="F5" s="2" t="n">
        <v>0</v>
      </c>
      <c r="G5" s="2" t="n">
        <v>8</v>
      </c>
      <c r="H5" s="2" t="n">
        <v>0</v>
      </c>
      <c r="I5" s="2" t="n">
        <v>17</v>
      </c>
      <c r="J5" s="2" t="n">
        <v>0</v>
      </c>
      <c r="K5" s="2" t="n">
        <v>0</v>
      </c>
      <c r="L5" s="2" t="n">
        <v>2</v>
      </c>
      <c r="M5" s="2" t="n">
        <v>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12</v>
      </c>
      <c r="S5" s="2" t="n">
        <v>7</v>
      </c>
      <c r="T5" s="2" t="n">
        <v>13</v>
      </c>
      <c r="U5" s="2" t="n">
        <v>0</v>
      </c>
      <c r="V5" s="2" t="n">
        <v>0</v>
      </c>
      <c r="W5" s="2" t="n">
        <v>26</v>
      </c>
    </row>
    <row r="6" customFormat="false" ht="15" hidden="false" customHeight="false" outlineLevel="0" collapsed="false">
      <c r="A6" s="2" t="s">
        <v>28</v>
      </c>
      <c r="B6" s="2" t="s">
        <v>24</v>
      </c>
      <c r="C6" s="2" t="n">
        <v>7</v>
      </c>
      <c r="D6" s="2" t="n">
        <v>9</v>
      </c>
      <c r="E6" s="2" t="n">
        <v>0</v>
      </c>
      <c r="F6" s="2" t="n">
        <v>0</v>
      </c>
      <c r="G6" s="2" t="n">
        <v>17</v>
      </c>
      <c r="H6" s="2" t="n">
        <v>0</v>
      </c>
      <c r="I6" s="2" t="n">
        <v>11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2</v>
      </c>
      <c r="R6" s="2" t="n">
        <v>9</v>
      </c>
      <c r="S6" s="2" t="n">
        <v>4</v>
      </c>
      <c r="T6" s="2" t="n">
        <v>2</v>
      </c>
      <c r="U6" s="2" t="n">
        <v>0</v>
      </c>
      <c r="V6" s="2" t="n">
        <v>0</v>
      </c>
      <c r="W6" s="2" t="n">
        <v>5</v>
      </c>
    </row>
    <row r="7" customFormat="false" ht="15" hidden="false" customHeight="false" outlineLevel="0" collapsed="false">
      <c r="A7" s="2" t="s">
        <v>29</v>
      </c>
      <c r="B7" s="2" t="s">
        <v>24</v>
      </c>
      <c r="C7" s="2" t="n">
        <v>4</v>
      </c>
      <c r="D7" s="2" t="n">
        <v>9</v>
      </c>
      <c r="E7" s="2" t="n">
        <v>0</v>
      </c>
      <c r="F7" s="2" t="n">
        <v>0</v>
      </c>
      <c r="G7" s="2" t="n">
        <v>45</v>
      </c>
      <c r="H7" s="2" t="n">
        <v>1</v>
      </c>
      <c r="I7" s="2" t="n">
        <v>3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3</v>
      </c>
      <c r="S7" s="2" t="n">
        <v>2</v>
      </c>
      <c r="T7" s="2" t="n">
        <v>1</v>
      </c>
      <c r="U7" s="2" t="n">
        <v>0</v>
      </c>
      <c r="V7" s="2" t="n">
        <v>0</v>
      </c>
      <c r="W7" s="2" t="n">
        <v>4</v>
      </c>
    </row>
    <row r="8" customFormat="false" ht="15" hidden="false" customHeight="false" outlineLevel="0" collapsed="false">
      <c r="A8" s="2" t="s">
        <v>30</v>
      </c>
      <c r="B8" s="2" t="s">
        <v>24</v>
      </c>
      <c r="C8" s="2" t="n">
        <v>0</v>
      </c>
      <c r="D8" s="2" t="n">
        <v>11</v>
      </c>
      <c r="E8" s="2" t="n">
        <v>0</v>
      </c>
      <c r="F8" s="2" t="n">
        <v>2</v>
      </c>
      <c r="G8" s="2" t="n">
        <v>49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17</v>
      </c>
    </row>
    <row r="9" customFormat="false" ht="15" hidden="false" customHeight="false" outlineLevel="0" collapsed="false">
      <c r="A9" s="2" t="s">
        <v>31</v>
      </c>
      <c r="B9" s="2" t="s">
        <v>24</v>
      </c>
      <c r="C9" s="2" t="n">
        <v>2</v>
      </c>
      <c r="D9" s="2" t="n">
        <v>3</v>
      </c>
      <c r="E9" s="2" t="n">
        <v>0</v>
      </c>
      <c r="F9" s="2" t="n">
        <v>0</v>
      </c>
      <c r="G9" s="2" t="n">
        <v>41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6</v>
      </c>
    </row>
    <row r="10" customFormat="false" ht="15" hidden="false" customHeight="false" outlineLevel="0" collapsed="false">
      <c r="A10" s="2" t="s">
        <v>32</v>
      </c>
      <c r="B10" s="2" t="s">
        <v>24</v>
      </c>
      <c r="C10" s="2" t="n">
        <v>2</v>
      </c>
      <c r="D10" s="2" t="n">
        <v>1</v>
      </c>
      <c r="E10" s="2" t="n">
        <v>0</v>
      </c>
      <c r="F10" s="2" t="n">
        <v>0</v>
      </c>
      <c r="G10" s="2" t="n">
        <v>60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8</v>
      </c>
    </row>
    <row r="11" customFormat="false" ht="15" hidden="false" customHeight="false" outlineLevel="0" collapsed="false">
      <c r="A11" s="2" t="s">
        <v>33</v>
      </c>
      <c r="B11" s="2" t="s">
        <v>24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30</v>
      </c>
      <c r="H11" s="2" t="n">
        <v>0</v>
      </c>
      <c r="I11" s="2" t="n">
        <v>2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</row>
    <row r="12" customFormat="false" ht="15" hidden="false" customHeight="false" outlineLevel="0" collapsed="false">
      <c r="A12" s="2" t="s">
        <v>34</v>
      </c>
      <c r="B12" s="2" t="s">
        <v>24</v>
      </c>
      <c r="C12" s="2" t="n">
        <v>3</v>
      </c>
      <c r="D12" s="2" t="n">
        <v>118</v>
      </c>
      <c r="E12" s="2" t="n">
        <v>0</v>
      </c>
      <c r="F12" s="2" t="n">
        <v>14</v>
      </c>
      <c r="G12" s="2" t="n">
        <v>9</v>
      </c>
      <c r="H12" s="2" t="n">
        <v>0</v>
      </c>
      <c r="I12" s="2" t="n">
        <v>5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7</v>
      </c>
      <c r="O12" s="2" t="n">
        <v>5</v>
      </c>
      <c r="P12" s="2" t="n">
        <v>0</v>
      </c>
      <c r="Q12" s="2" t="n">
        <v>0</v>
      </c>
      <c r="R12" s="2" t="n">
        <v>7</v>
      </c>
      <c r="S12" s="2" t="n">
        <v>7</v>
      </c>
      <c r="T12" s="2" t="n">
        <v>0</v>
      </c>
      <c r="U12" s="2" t="n">
        <v>0</v>
      </c>
      <c r="V12" s="2" t="n">
        <v>0</v>
      </c>
      <c r="W12" s="2" t="n">
        <v>6</v>
      </c>
    </row>
    <row r="13" customFormat="false" ht="15" hidden="false" customHeight="false" outlineLevel="0" collapsed="false">
      <c r="A13" s="2" t="s">
        <v>35</v>
      </c>
      <c r="B13" s="2" t="s">
        <v>24</v>
      </c>
      <c r="C13" s="2" t="n">
        <v>12</v>
      </c>
      <c r="D13" s="2" t="n">
        <v>115</v>
      </c>
      <c r="E13" s="2" t="n">
        <v>0</v>
      </c>
      <c r="F13" s="2" t="n">
        <v>25</v>
      </c>
      <c r="G13" s="2" t="n">
        <v>8</v>
      </c>
      <c r="H13" s="2" t="n">
        <v>1</v>
      </c>
      <c r="I13" s="2" t="n">
        <v>2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2</v>
      </c>
      <c r="O13" s="2" t="n">
        <v>7</v>
      </c>
      <c r="P13" s="2" t="n">
        <v>0</v>
      </c>
      <c r="Q13" s="2" t="n">
        <v>0</v>
      </c>
      <c r="R13" s="2" t="n">
        <v>2</v>
      </c>
      <c r="S13" s="2" t="n">
        <v>5</v>
      </c>
      <c r="T13" s="2" t="n">
        <v>0</v>
      </c>
      <c r="U13" s="2" t="n">
        <v>0</v>
      </c>
      <c r="V13" s="2" t="n">
        <v>0</v>
      </c>
      <c r="W13" s="2" t="n">
        <v>15</v>
      </c>
    </row>
    <row r="14" customFormat="false" ht="15" hidden="false" customHeight="false" outlineLevel="0" collapsed="false">
      <c r="A14" s="2" t="s">
        <v>36</v>
      </c>
      <c r="B14" s="2" t="s">
        <v>24</v>
      </c>
      <c r="C14" s="2" t="n">
        <v>7</v>
      </c>
      <c r="D14" s="2" t="n">
        <v>137</v>
      </c>
      <c r="E14" s="2" t="n">
        <v>0</v>
      </c>
      <c r="F14" s="2" t="n">
        <v>27</v>
      </c>
      <c r="G14" s="2" t="n">
        <v>12</v>
      </c>
      <c r="H14" s="2" t="n">
        <v>4</v>
      </c>
      <c r="I14" s="2" t="n">
        <v>2</v>
      </c>
      <c r="J14" s="2" t="n">
        <v>3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3</v>
      </c>
      <c r="P14" s="2" t="n">
        <v>1</v>
      </c>
      <c r="Q14" s="2" t="n">
        <v>0</v>
      </c>
      <c r="R14" s="2" t="n">
        <v>4</v>
      </c>
      <c r="S14" s="2" t="n">
        <v>3</v>
      </c>
      <c r="T14" s="2" t="n">
        <v>1</v>
      </c>
      <c r="U14" s="2" t="n">
        <v>0</v>
      </c>
      <c r="V14" s="2" t="n">
        <v>0</v>
      </c>
      <c r="W14" s="2" t="n">
        <v>21</v>
      </c>
    </row>
    <row r="15" customFormat="false" ht="15" hidden="false" customHeight="false" outlineLevel="0" collapsed="false">
      <c r="A15" s="2" t="s">
        <v>37</v>
      </c>
      <c r="B15" s="2" t="s">
        <v>24</v>
      </c>
      <c r="C15" s="2" t="n">
        <v>2</v>
      </c>
      <c r="D15" s="2" t="n">
        <v>120</v>
      </c>
      <c r="E15" s="2" t="n">
        <v>0</v>
      </c>
      <c r="F15" s="2" t="n">
        <v>25</v>
      </c>
      <c r="G15" s="2" t="n">
        <v>7</v>
      </c>
      <c r="H15" s="2" t="n">
        <v>1</v>
      </c>
      <c r="I15" s="2" t="n">
        <v>3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2</v>
      </c>
      <c r="O15" s="2" t="n">
        <v>1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14</v>
      </c>
    </row>
    <row r="16" customFormat="false" ht="15" hidden="false" customHeight="false" outlineLevel="0" collapsed="false">
      <c r="A16" s="2" t="s">
        <v>38</v>
      </c>
      <c r="B16" s="2" t="s">
        <v>24</v>
      </c>
      <c r="C16" s="2" t="n">
        <v>0</v>
      </c>
      <c r="D16" s="2" t="n">
        <v>70</v>
      </c>
      <c r="E16" s="2" t="n">
        <v>0</v>
      </c>
      <c r="F16" s="2" t="n">
        <v>4</v>
      </c>
      <c r="G16" s="2" t="n">
        <v>2</v>
      </c>
      <c r="H16" s="2" t="n">
        <v>2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5</v>
      </c>
      <c r="O16" s="2" t="n">
        <v>3</v>
      </c>
      <c r="P16" s="2" t="n">
        <v>0</v>
      </c>
      <c r="Q16" s="2" t="n">
        <v>0</v>
      </c>
      <c r="R16" s="2" t="n">
        <v>1</v>
      </c>
      <c r="S16" s="2" t="n">
        <v>2</v>
      </c>
      <c r="T16" s="2" t="n">
        <v>1</v>
      </c>
      <c r="U16" s="2" t="n">
        <v>0</v>
      </c>
      <c r="V16" s="2" t="n">
        <v>1</v>
      </c>
      <c r="W16" s="2" t="n">
        <v>11</v>
      </c>
    </row>
    <row r="17" customFormat="false" ht="15" hidden="false" customHeight="false" outlineLevel="0" collapsed="false">
      <c r="A17" s="2" t="s">
        <v>39</v>
      </c>
      <c r="B17" s="2" t="s">
        <v>24</v>
      </c>
      <c r="C17" s="2" t="n">
        <v>0</v>
      </c>
      <c r="D17" s="2" t="n">
        <v>45</v>
      </c>
      <c r="E17" s="2" t="n">
        <v>0</v>
      </c>
      <c r="F17" s="2" t="n">
        <v>5</v>
      </c>
      <c r="G17" s="2" t="n">
        <v>10</v>
      </c>
      <c r="H17" s="2" t="n">
        <v>2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7</v>
      </c>
    </row>
    <row r="18" customFormat="false" ht="15" hidden="false" customHeight="false" outlineLevel="0" collapsed="false">
      <c r="A18" s="2" t="s">
        <v>40</v>
      </c>
      <c r="B18" s="2" t="s">
        <v>24</v>
      </c>
      <c r="C18" s="2" t="n">
        <v>0</v>
      </c>
      <c r="D18" s="2" t="n">
        <v>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</row>
    <row r="19" customFormat="false" ht="15" hidden="false" customHeight="false" outlineLevel="0" collapsed="false">
      <c r="A19" s="2" t="s">
        <v>41</v>
      </c>
      <c r="B19" s="2" t="s">
        <v>24</v>
      </c>
      <c r="C19" s="2" t="n">
        <v>0</v>
      </c>
      <c r="D19" s="2" t="n">
        <v>1</v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</row>
    <row r="20" customFormat="false" ht="15" hidden="false" customHeight="false" outlineLevel="0" collapsed="false">
      <c r="A20" s="2" t="s">
        <v>42</v>
      </c>
      <c r="B20" s="2" t="s">
        <v>24</v>
      </c>
      <c r="C20" s="2" t="n">
        <v>2</v>
      </c>
      <c r="D20" s="2" t="n">
        <v>2</v>
      </c>
      <c r="E20" s="2" t="n">
        <v>0</v>
      </c>
      <c r="F20" s="2" t="n">
        <v>0</v>
      </c>
      <c r="G20" s="2" t="n">
        <v>2</v>
      </c>
      <c r="H20" s="2" t="n">
        <v>3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</row>
    <row r="21" customFormat="false" ht="15" hidden="false" customHeight="false" outlineLevel="0" collapsed="false">
      <c r="A21" s="2" t="s">
        <v>43</v>
      </c>
      <c r="B21" s="2" t="s">
        <v>24</v>
      </c>
      <c r="C21" s="2" t="n">
        <v>0</v>
      </c>
      <c r="D21" s="2" t="n">
        <v>2</v>
      </c>
      <c r="E21" s="2" t="n">
        <v>0</v>
      </c>
      <c r="F21" s="2" t="n">
        <v>0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n">
        <v>2</v>
      </c>
      <c r="D22" s="2" t="n">
        <v>0</v>
      </c>
      <c r="E22" s="2" t="n">
        <v>0</v>
      </c>
      <c r="F22" s="2" t="n">
        <v>0</v>
      </c>
      <c r="G22" s="2" t="n">
        <v>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2</v>
      </c>
      <c r="R22" s="2" t="n">
        <v>1</v>
      </c>
      <c r="S22" s="2" t="n">
        <v>5</v>
      </c>
      <c r="T22" s="2" t="n">
        <v>0</v>
      </c>
      <c r="U22" s="2" t="n">
        <v>4</v>
      </c>
      <c r="V22" s="2" t="n">
        <v>0</v>
      </c>
      <c r="W22" s="2" t="n">
        <v>6</v>
      </c>
    </row>
    <row r="23" customFormat="false" ht="15" hidden="false" customHeight="false" outlineLevel="0" collapsed="false">
      <c r="A23" s="2" t="s">
        <v>46</v>
      </c>
      <c r="B23" s="2" t="s">
        <v>45</v>
      </c>
      <c r="C23" s="2" t="n">
        <v>33</v>
      </c>
      <c r="D23" s="2" t="n">
        <v>2</v>
      </c>
      <c r="E23" s="2" t="n">
        <v>0</v>
      </c>
      <c r="F23" s="2" t="n">
        <v>1</v>
      </c>
      <c r="G23" s="2" t="n">
        <v>0</v>
      </c>
      <c r="H23" s="2" t="n">
        <v>2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1</v>
      </c>
      <c r="T23" s="2" t="n">
        <v>0</v>
      </c>
      <c r="U23" s="2" t="n">
        <v>0</v>
      </c>
      <c r="V23" s="2" t="n">
        <v>0</v>
      </c>
      <c r="W23" s="2" t="n">
        <v>9</v>
      </c>
    </row>
    <row r="24" customFormat="false" ht="15" hidden="false" customHeight="false" outlineLevel="0" collapsed="false">
      <c r="A24" s="2" t="s">
        <v>47</v>
      </c>
      <c r="B24" s="2" t="s">
        <v>45</v>
      </c>
      <c r="C24" s="2" t="n">
        <v>54</v>
      </c>
      <c r="D24" s="2" t="n">
        <v>0</v>
      </c>
      <c r="E24" s="2" t="n">
        <v>0</v>
      </c>
      <c r="F24" s="2" t="n">
        <v>1</v>
      </c>
      <c r="G24" s="2" t="n">
        <v>0</v>
      </c>
      <c r="H24" s="2" t="n">
        <v>21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4</v>
      </c>
      <c r="N24" s="2" t="n">
        <v>4</v>
      </c>
      <c r="O24" s="2" t="n">
        <v>3</v>
      </c>
      <c r="P24" s="2" t="n">
        <v>0</v>
      </c>
      <c r="Q24" s="2" t="n">
        <v>0</v>
      </c>
      <c r="R24" s="2" t="n">
        <v>3</v>
      </c>
      <c r="S24" s="2" t="n">
        <v>70</v>
      </c>
      <c r="T24" s="2" t="n">
        <v>1</v>
      </c>
      <c r="U24" s="2" t="n">
        <v>0</v>
      </c>
      <c r="V24" s="2" t="n">
        <v>0</v>
      </c>
      <c r="W24" s="2" t="n">
        <v>9</v>
      </c>
    </row>
    <row r="25" customFormat="false" ht="15" hidden="false" customHeight="false" outlineLevel="0" collapsed="false">
      <c r="A25" s="2" t="s">
        <v>48</v>
      </c>
      <c r="B25" s="2" t="s">
        <v>45</v>
      </c>
      <c r="C25" s="2" t="n">
        <v>53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24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4</v>
      </c>
      <c r="N25" s="2" t="n">
        <v>1</v>
      </c>
      <c r="O25" s="2" t="n">
        <v>2</v>
      </c>
      <c r="P25" s="2" t="n">
        <v>0</v>
      </c>
      <c r="Q25" s="2" t="n">
        <v>0</v>
      </c>
      <c r="R25" s="2" t="n">
        <v>0</v>
      </c>
      <c r="S25" s="2" t="n">
        <v>38</v>
      </c>
      <c r="T25" s="2" t="n">
        <v>1</v>
      </c>
      <c r="U25" s="2" t="n">
        <v>0</v>
      </c>
      <c r="V25" s="2" t="n">
        <v>0</v>
      </c>
      <c r="W25" s="2" t="n">
        <v>3</v>
      </c>
    </row>
    <row r="26" customFormat="false" ht="15" hidden="false" customHeight="false" outlineLevel="0" collapsed="false">
      <c r="A26" s="2" t="s">
        <v>49</v>
      </c>
      <c r="B26" s="2" t="s">
        <v>45</v>
      </c>
      <c r="C26" s="2" t="n">
        <v>20</v>
      </c>
      <c r="D26" s="2" t="n">
        <v>1</v>
      </c>
      <c r="E26" s="2" t="n">
        <v>0</v>
      </c>
      <c r="F26" s="2" t="n">
        <v>1</v>
      </c>
      <c r="G26" s="2" t="n">
        <v>0</v>
      </c>
      <c r="H26" s="2" t="n">
        <v>21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23</v>
      </c>
      <c r="T26" s="2" t="n">
        <v>0</v>
      </c>
      <c r="U26" s="2" t="n">
        <v>0</v>
      </c>
      <c r="V26" s="2" t="n">
        <v>0</v>
      </c>
      <c r="W26" s="2" t="n">
        <v>2</v>
      </c>
    </row>
    <row r="27" customFormat="false" ht="15" hidden="false" customHeight="false" outlineLevel="0" collapsed="false">
      <c r="A27" s="2" t="s">
        <v>50</v>
      </c>
      <c r="B27" s="2" t="s">
        <v>45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</row>
    <row r="28" customFormat="false" ht="15" hidden="false" customHeight="false" outlineLevel="0" collapsed="false">
      <c r="A28" s="2" t="s">
        <v>51</v>
      </c>
      <c r="B28" s="2" t="s">
        <v>45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4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1</v>
      </c>
    </row>
    <row r="29" customFormat="false" ht="15" hidden="false" customHeight="false" outlineLevel="0" collapsed="false">
      <c r="A29" s="2" t="s">
        <v>52</v>
      </c>
      <c r="B29" s="2" t="s">
        <v>45</v>
      </c>
      <c r="C29" s="2" t="n">
        <v>6</v>
      </c>
      <c r="D29" s="2" t="n">
        <v>0</v>
      </c>
      <c r="E29" s="2" t="n">
        <v>0</v>
      </c>
      <c r="F29" s="2" t="n">
        <v>0</v>
      </c>
      <c r="G29" s="2" t="n">
        <v>1</v>
      </c>
      <c r="H29" s="2" t="n">
        <v>8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1</v>
      </c>
    </row>
    <row r="30" customFormat="false" ht="15" hidden="false" customHeight="false" outlineLevel="0" collapsed="false">
      <c r="A30" s="2" t="s">
        <v>53</v>
      </c>
      <c r="B30" s="2" t="s">
        <v>45</v>
      </c>
      <c r="C30" s="2" t="n">
        <v>2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7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</row>
    <row r="31" customFormat="false" ht="15" hidden="false" customHeight="false" outlineLevel="0" collapsed="false">
      <c r="A31" s="2" t="s">
        <v>54</v>
      </c>
      <c r="B31" s="2" t="s">
        <v>45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</row>
    <row r="32" customFormat="false" ht="15" hidden="false" customHeight="false" outlineLevel="0" collapsed="false">
      <c r="A32" s="2" t="s">
        <v>55</v>
      </c>
      <c r="B32" s="2" t="s">
        <v>45</v>
      </c>
      <c r="C32" s="2" t="n">
        <v>3</v>
      </c>
      <c r="D32" s="2" t="n">
        <v>43</v>
      </c>
      <c r="E32" s="2" t="n">
        <v>0</v>
      </c>
      <c r="F32" s="2" t="n">
        <v>3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1</v>
      </c>
      <c r="T32" s="2" t="n">
        <v>1</v>
      </c>
      <c r="U32" s="2" t="n">
        <v>0</v>
      </c>
      <c r="V32" s="2" t="n">
        <v>0</v>
      </c>
      <c r="W32" s="2" t="n">
        <v>21</v>
      </c>
    </row>
    <row r="33" customFormat="false" ht="15" hidden="false" customHeight="false" outlineLevel="0" collapsed="false">
      <c r="A33" s="2" t="s">
        <v>56</v>
      </c>
      <c r="B33" s="2" t="s">
        <v>45</v>
      </c>
      <c r="C33" s="2" t="n">
        <v>0</v>
      </c>
      <c r="D33" s="2" t="n">
        <v>5</v>
      </c>
      <c r="E33" s="2" t="n">
        <v>0</v>
      </c>
      <c r="F33" s="2" t="n">
        <v>0</v>
      </c>
      <c r="G33" s="2" t="n">
        <v>0</v>
      </c>
      <c r="H33" s="2" t="n">
        <v>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2</v>
      </c>
    </row>
    <row r="34" customFormat="false" ht="15" hidden="false" customHeight="false" outlineLevel="0" collapsed="false">
      <c r="A34" s="2" t="s">
        <v>57</v>
      </c>
      <c r="B34" s="2" t="s">
        <v>45</v>
      </c>
      <c r="C34" s="2" t="n">
        <v>0</v>
      </c>
      <c r="D34" s="2" t="n">
        <v>3</v>
      </c>
      <c r="E34" s="2" t="n">
        <v>0</v>
      </c>
      <c r="F34" s="2" t="n">
        <v>1</v>
      </c>
      <c r="G34" s="2" t="n">
        <v>0</v>
      </c>
      <c r="H34" s="2" t="n">
        <v>3</v>
      </c>
      <c r="I34" s="2" t="n">
        <v>0</v>
      </c>
      <c r="J34" s="2" t="n">
        <v>0</v>
      </c>
      <c r="K34" s="2" t="n">
        <v>0</v>
      </c>
      <c r="L34" s="2" t="n">
        <v>2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4</v>
      </c>
      <c r="T34" s="2" t="n">
        <v>0</v>
      </c>
      <c r="U34" s="2" t="n">
        <v>0</v>
      </c>
      <c r="V34" s="2" t="n">
        <v>0</v>
      </c>
      <c r="W34" s="2" t="n">
        <v>6</v>
      </c>
    </row>
    <row r="35" customFormat="false" ht="15" hidden="false" customHeight="false" outlineLevel="0" collapsed="false">
      <c r="A35" s="2" t="s">
        <v>58</v>
      </c>
      <c r="B35" s="2" t="s">
        <v>45</v>
      </c>
      <c r="C35" s="2" t="n">
        <v>1</v>
      </c>
      <c r="D35" s="2" t="n">
        <v>4</v>
      </c>
      <c r="E35" s="2" t="n">
        <v>0</v>
      </c>
      <c r="F35" s="2" t="n">
        <v>2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14</v>
      </c>
    </row>
    <row r="36" customFormat="false" ht="15" hidden="false" customHeight="false" outlineLevel="0" collapsed="false">
      <c r="A36" s="2" t="s">
        <v>59</v>
      </c>
      <c r="B36" s="2" t="s">
        <v>45</v>
      </c>
      <c r="C36" s="2" t="n">
        <v>4</v>
      </c>
      <c r="D36" s="2" t="n">
        <v>22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2</v>
      </c>
      <c r="T36" s="2" t="n">
        <v>0</v>
      </c>
      <c r="U36" s="2" t="n">
        <v>0</v>
      </c>
      <c r="V36" s="2" t="n">
        <v>0</v>
      </c>
      <c r="W36" s="2" t="n">
        <v>14</v>
      </c>
    </row>
    <row r="37" customFormat="false" ht="15" hidden="false" customHeight="false" outlineLevel="0" collapsed="false">
      <c r="A37" s="2" t="s">
        <v>60</v>
      </c>
      <c r="B37" s="2" t="s">
        <v>45</v>
      </c>
      <c r="C37" s="2" t="n">
        <v>0</v>
      </c>
      <c r="D37" s="2" t="n">
        <v>1</v>
      </c>
      <c r="E37" s="2" t="n">
        <v>0</v>
      </c>
      <c r="F37" s="2" t="n">
        <v>0</v>
      </c>
      <c r="G37" s="2" t="n">
        <v>2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6</v>
      </c>
    </row>
    <row r="38" customFormat="false" ht="15" hidden="false" customHeight="false" outlineLevel="0" collapsed="false">
      <c r="A38" s="2" t="s">
        <v>61</v>
      </c>
      <c r="B38" s="2" t="s">
        <v>45</v>
      </c>
      <c r="C38" s="2" t="n">
        <v>0</v>
      </c>
      <c r="D38" s="2" t="n">
        <v>1</v>
      </c>
      <c r="E38" s="2" t="n">
        <v>0</v>
      </c>
      <c r="F38" s="2" t="n">
        <v>0</v>
      </c>
      <c r="G38" s="2" t="n">
        <v>14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</row>
    <row r="39" customFormat="false" ht="15" hidden="false" customHeight="false" outlineLevel="0" collapsed="false">
      <c r="A39" s="2" t="s">
        <v>62</v>
      </c>
      <c r="B39" s="2" t="s">
        <v>45</v>
      </c>
      <c r="C39" s="2" t="n">
        <v>1</v>
      </c>
      <c r="D39" s="2" t="n">
        <v>0</v>
      </c>
      <c r="E39" s="2" t="n">
        <v>0</v>
      </c>
      <c r="F39" s="2" t="n">
        <v>0</v>
      </c>
      <c r="G39" s="2" t="n">
        <v>5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</row>
    <row r="40" customFormat="false" ht="15" hidden="false" customHeight="false" outlineLevel="0" collapsed="false">
      <c r="A40" s="2" t="s">
        <v>63</v>
      </c>
      <c r="B40" s="2" t="s">
        <v>64</v>
      </c>
      <c r="C40" s="2" t="n">
        <v>0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  <c r="U40" s="2" t="n">
        <v>0</v>
      </c>
      <c r="V40" s="2" t="n">
        <v>0</v>
      </c>
      <c r="W40" s="2" t="n">
        <v>4</v>
      </c>
    </row>
    <row r="41" customFormat="false" ht="15" hidden="false" customHeight="false" outlineLevel="0" collapsed="false">
      <c r="A41" s="2" t="s">
        <v>65</v>
      </c>
      <c r="B41" s="2" t="s">
        <v>64</v>
      </c>
      <c r="C41" s="2" t="n">
        <v>0</v>
      </c>
      <c r="D41" s="2" t="n">
        <v>0</v>
      </c>
      <c r="E41" s="2" t="n">
        <v>2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</v>
      </c>
      <c r="R41" s="2" t="n">
        <v>0</v>
      </c>
      <c r="S41" s="2" t="n">
        <v>3</v>
      </c>
      <c r="T41" s="2" t="n">
        <v>2</v>
      </c>
      <c r="U41" s="2" t="n">
        <v>0</v>
      </c>
      <c r="V41" s="2" t="n">
        <v>0</v>
      </c>
      <c r="W41" s="2" t="n">
        <v>1</v>
      </c>
    </row>
    <row r="42" customFormat="false" ht="15" hidden="false" customHeight="false" outlineLevel="0" collapsed="false">
      <c r="A42" s="2" t="s">
        <v>66</v>
      </c>
      <c r="B42" s="2" t="s">
        <v>64</v>
      </c>
      <c r="C42" s="2" t="n">
        <v>0</v>
      </c>
      <c r="D42" s="2" t="n">
        <v>0</v>
      </c>
      <c r="E42" s="2" t="n">
        <v>3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2</v>
      </c>
      <c r="R42" s="2" t="n">
        <v>1</v>
      </c>
      <c r="S42" s="2" t="n">
        <v>6</v>
      </c>
      <c r="T42" s="2" t="n">
        <v>0</v>
      </c>
      <c r="U42" s="2" t="n">
        <v>0</v>
      </c>
      <c r="V42" s="2" t="n">
        <v>0</v>
      </c>
      <c r="W42" s="2" t="n">
        <v>7</v>
      </c>
    </row>
    <row r="43" customFormat="false" ht="15" hidden="false" customHeight="false" outlineLevel="0" collapsed="false">
      <c r="A43" s="2" t="s">
        <v>67</v>
      </c>
      <c r="B43" s="2" t="s">
        <v>64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2</v>
      </c>
    </row>
    <row r="44" customFormat="false" ht="15" hidden="false" customHeight="false" outlineLevel="0" collapsed="false">
      <c r="A44" s="2" t="s">
        <v>68</v>
      </c>
      <c r="B44" s="2" t="s">
        <v>64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2</v>
      </c>
    </row>
    <row r="45" customFormat="false" ht="15" hidden="false" customHeight="false" outlineLevel="0" collapsed="false">
      <c r="A45" s="2" t="s">
        <v>69</v>
      </c>
      <c r="B45" s="2" t="s">
        <v>64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</v>
      </c>
    </row>
    <row r="46" customFormat="false" ht="15" hidden="false" customHeight="false" outlineLevel="0" collapsed="false">
      <c r="A46" s="2" t="s">
        <v>70</v>
      </c>
      <c r="B46" s="2" t="s">
        <v>64</v>
      </c>
      <c r="C46" s="2" t="n">
        <v>0</v>
      </c>
      <c r="D46" s="2" t="n">
        <v>0</v>
      </c>
      <c r="E46" s="2" t="n">
        <v>0</v>
      </c>
      <c r="F46" s="2" t="n">
        <v>4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3</v>
      </c>
      <c r="T46" s="2" t="n">
        <v>0</v>
      </c>
      <c r="U46" s="2" t="n">
        <v>0</v>
      </c>
      <c r="V46" s="2" t="n">
        <v>0</v>
      </c>
      <c r="W46" s="2" t="n">
        <v>1</v>
      </c>
    </row>
    <row r="47" customFormat="false" ht="15" hidden="false" customHeight="false" outlineLevel="0" collapsed="false">
      <c r="A47" s="2" t="s">
        <v>71</v>
      </c>
      <c r="B47" s="2" t="s">
        <v>64</v>
      </c>
      <c r="C47" s="2" t="n">
        <v>1</v>
      </c>
      <c r="D47" s="2" t="n">
        <v>0</v>
      </c>
      <c r="E47" s="2" t="n">
        <v>0</v>
      </c>
      <c r="F47" s="2" t="n">
        <v>6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1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2</v>
      </c>
      <c r="T47" s="2" t="n">
        <v>0</v>
      </c>
      <c r="U47" s="2" t="n">
        <v>0</v>
      </c>
      <c r="V47" s="2" t="n">
        <v>0</v>
      </c>
      <c r="W47" s="2" t="n">
        <v>1</v>
      </c>
    </row>
    <row r="48" customFormat="false" ht="15" hidden="false" customHeight="false" outlineLevel="0" collapsed="false">
      <c r="A48" s="2" t="s">
        <v>72</v>
      </c>
      <c r="B48" s="2" t="s">
        <v>64</v>
      </c>
      <c r="C48" s="2" t="n">
        <v>2</v>
      </c>
      <c r="D48" s="2" t="n">
        <v>0</v>
      </c>
      <c r="E48" s="2" t="n">
        <v>2</v>
      </c>
      <c r="F48" s="2" t="n">
        <v>2</v>
      </c>
      <c r="G48" s="2" t="n">
        <v>0</v>
      </c>
      <c r="H48" s="2" t="n">
        <v>2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30</v>
      </c>
      <c r="T48" s="2" t="n">
        <v>0</v>
      </c>
      <c r="U48" s="2" t="n">
        <v>0</v>
      </c>
      <c r="V48" s="2" t="n">
        <v>0</v>
      </c>
      <c r="W48" s="2" t="n">
        <v>0</v>
      </c>
    </row>
    <row r="49" customFormat="false" ht="15" hidden="false" customHeight="false" outlineLevel="0" collapsed="false">
      <c r="A49" s="2" t="s">
        <v>73</v>
      </c>
      <c r="B49" s="2" t="s">
        <v>64</v>
      </c>
      <c r="C49" s="2" t="n">
        <v>0</v>
      </c>
      <c r="D49" s="2" t="n">
        <v>0</v>
      </c>
      <c r="E49" s="2" t="n">
        <v>3</v>
      </c>
      <c r="F49" s="2" t="n">
        <v>1</v>
      </c>
      <c r="G49" s="2" t="n">
        <v>0</v>
      </c>
      <c r="H49" s="2" t="n">
        <v>2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3</v>
      </c>
      <c r="T49" s="2" t="n">
        <v>0</v>
      </c>
      <c r="U49" s="2" t="n">
        <v>0</v>
      </c>
      <c r="V49" s="2" t="n">
        <v>0</v>
      </c>
      <c r="W49" s="2" t="n">
        <v>1</v>
      </c>
    </row>
    <row r="50" customFormat="false" ht="15" hidden="false" customHeight="false" outlineLevel="0" collapsed="false">
      <c r="A50" s="2" t="s">
        <v>74</v>
      </c>
      <c r="B50" s="2" t="s">
        <v>64</v>
      </c>
      <c r="C50" s="2" t="n">
        <v>0</v>
      </c>
      <c r="D50" s="2" t="n">
        <v>0</v>
      </c>
      <c r="E50" s="2" t="n">
        <v>0</v>
      </c>
      <c r="F50" s="2" t="n">
        <v>1</v>
      </c>
      <c r="G50" s="2" t="n">
        <v>1</v>
      </c>
      <c r="H50" s="2" t="n">
        <v>2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17</v>
      </c>
      <c r="T50" s="2" t="n">
        <v>1</v>
      </c>
      <c r="U50" s="2" t="n">
        <v>0</v>
      </c>
      <c r="V50" s="2" t="n">
        <v>0</v>
      </c>
      <c r="W50" s="2" t="n">
        <v>1</v>
      </c>
    </row>
    <row r="51" customFormat="false" ht="15" hidden="false" customHeight="false" outlineLevel="0" collapsed="false">
      <c r="A51" s="2" t="s">
        <v>75</v>
      </c>
      <c r="B51" s="2" t="s">
        <v>64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</row>
    <row r="52" customFormat="false" ht="15" hidden="false" customHeight="false" outlineLevel="0" collapsed="false">
      <c r="A52" s="2" t="s">
        <v>76</v>
      </c>
      <c r="B52" s="2" t="s">
        <v>64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</row>
    <row r="53" customFormat="false" ht="15" hidden="false" customHeight="false" outlineLevel="0" collapsed="false">
      <c r="A53" s="2" t="s">
        <v>77</v>
      </c>
      <c r="B53" s="2" t="s">
        <v>64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1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</row>
    <row r="54" customFormat="false" ht="15" hidden="false" customHeight="false" outlineLevel="0" collapsed="false">
      <c r="A54" s="2" t="s">
        <v>78</v>
      </c>
      <c r="B54" s="2" t="s">
        <v>79</v>
      </c>
      <c r="C54" s="2" t="n">
        <v>5</v>
      </c>
      <c r="D54" s="2" t="n">
        <v>5</v>
      </c>
      <c r="E54" s="2" t="n">
        <v>130</v>
      </c>
      <c r="F54" s="2" t="n">
        <v>0</v>
      </c>
      <c r="G54" s="2" t="n">
        <v>0</v>
      </c>
      <c r="H54" s="2" t="n">
        <v>3</v>
      </c>
      <c r="I54" s="2" t="n">
        <v>3</v>
      </c>
      <c r="J54" s="2" t="n">
        <v>0</v>
      </c>
      <c r="K54" s="2" t="n">
        <v>0</v>
      </c>
      <c r="L54" s="2" t="n">
        <v>15</v>
      </c>
      <c r="M54" s="2" t="n">
        <v>1</v>
      </c>
      <c r="N54" s="2" t="n">
        <v>0</v>
      </c>
      <c r="O54" s="2" t="n">
        <v>0</v>
      </c>
      <c r="P54" s="2" t="n">
        <v>3</v>
      </c>
      <c r="Q54" s="2" t="n">
        <v>0</v>
      </c>
      <c r="R54" s="2" t="n">
        <v>2</v>
      </c>
      <c r="S54" s="2" t="n">
        <v>28</v>
      </c>
      <c r="T54" s="2" t="n">
        <v>7</v>
      </c>
      <c r="U54" s="2" t="n">
        <v>1</v>
      </c>
      <c r="V54" s="2" t="n">
        <v>0</v>
      </c>
      <c r="W54" s="2" t="n">
        <v>48</v>
      </c>
    </row>
    <row r="55" customFormat="false" ht="15" hidden="false" customHeight="false" outlineLevel="0" collapsed="false">
      <c r="A55" s="2" t="s">
        <v>80</v>
      </c>
      <c r="B55" s="2" t="s">
        <v>79</v>
      </c>
      <c r="C55" s="2" t="n">
        <v>0</v>
      </c>
      <c r="D55" s="2" t="n">
        <v>7</v>
      </c>
      <c r="E55" s="2" t="n">
        <v>304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</v>
      </c>
      <c r="L55" s="2" t="n">
        <v>21</v>
      </c>
      <c r="M55" s="2" t="n">
        <v>3</v>
      </c>
      <c r="N55" s="2" t="n">
        <v>0</v>
      </c>
      <c r="O55" s="2" t="n">
        <v>0</v>
      </c>
      <c r="P55" s="2" t="n">
        <v>3</v>
      </c>
      <c r="Q55" s="2" t="n">
        <v>0</v>
      </c>
      <c r="R55" s="2" t="n">
        <v>3</v>
      </c>
      <c r="S55" s="2" t="n">
        <v>18</v>
      </c>
      <c r="T55" s="2" t="n">
        <v>6</v>
      </c>
      <c r="U55" s="2" t="n">
        <v>0</v>
      </c>
      <c r="V55" s="2" t="n">
        <v>0</v>
      </c>
      <c r="W55" s="2" t="n">
        <v>46</v>
      </c>
    </row>
    <row r="56" customFormat="false" ht="15" hidden="false" customHeight="false" outlineLevel="0" collapsed="false">
      <c r="A56" s="2" t="s">
        <v>81</v>
      </c>
      <c r="B56" s="2" t="s">
        <v>79</v>
      </c>
      <c r="C56" s="2" t="n">
        <v>1</v>
      </c>
      <c r="D56" s="2" t="n">
        <v>0</v>
      </c>
      <c r="E56" s="2" t="n">
        <v>167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11</v>
      </c>
      <c r="M56" s="2" t="n">
        <v>0</v>
      </c>
      <c r="N56" s="2" t="n">
        <v>0</v>
      </c>
      <c r="O56" s="2" t="n">
        <v>0</v>
      </c>
      <c r="P56" s="2" t="n">
        <v>6</v>
      </c>
      <c r="Q56" s="2" t="n">
        <v>0</v>
      </c>
      <c r="R56" s="2" t="n">
        <v>0</v>
      </c>
      <c r="S56" s="2" t="n">
        <v>12</v>
      </c>
      <c r="T56" s="2" t="n">
        <v>2</v>
      </c>
      <c r="U56" s="2" t="n">
        <v>0</v>
      </c>
      <c r="V56" s="2" t="n">
        <v>0</v>
      </c>
      <c r="W56" s="2" t="n">
        <v>53</v>
      </c>
    </row>
    <row r="57" customFormat="false" ht="15" hidden="false" customHeight="false" outlineLevel="0" collapsed="false">
      <c r="A57" s="2" t="s">
        <v>82</v>
      </c>
      <c r="B57" s="2" t="s">
        <v>79</v>
      </c>
      <c r="C57" s="2" t="n">
        <v>0</v>
      </c>
      <c r="D57" s="2" t="n">
        <v>0</v>
      </c>
      <c r="E57" s="2" t="n">
        <v>116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</v>
      </c>
      <c r="M57" s="2" t="n">
        <v>1</v>
      </c>
      <c r="N57" s="2" t="n">
        <v>1</v>
      </c>
      <c r="O57" s="2" t="n">
        <v>0</v>
      </c>
      <c r="P57" s="2" t="n">
        <v>2</v>
      </c>
      <c r="Q57" s="2" t="n">
        <v>0</v>
      </c>
      <c r="R57" s="2" t="n">
        <v>1</v>
      </c>
      <c r="S57" s="2" t="n">
        <v>37</v>
      </c>
      <c r="T57" s="2" t="n">
        <v>16</v>
      </c>
      <c r="U57" s="2" t="n">
        <v>0</v>
      </c>
      <c r="V57" s="2" t="n">
        <v>0</v>
      </c>
      <c r="W57" s="2" t="n">
        <v>6</v>
      </c>
    </row>
    <row r="58" customFormat="false" ht="15" hidden="false" customHeight="false" outlineLevel="0" collapsed="false">
      <c r="A58" s="2" t="s">
        <v>83</v>
      </c>
      <c r="B58" s="2" t="s">
        <v>79</v>
      </c>
      <c r="C58" s="2" t="n">
        <v>0</v>
      </c>
      <c r="D58" s="2" t="n">
        <v>0</v>
      </c>
      <c r="E58" s="2" t="n">
        <v>21</v>
      </c>
      <c r="F58" s="2" t="n">
        <v>0</v>
      </c>
      <c r="G58" s="2" t="n">
        <v>0</v>
      </c>
      <c r="H58" s="2" t="n">
        <v>0</v>
      </c>
      <c r="I58" s="2" t="n">
        <v>2</v>
      </c>
      <c r="J58" s="2" t="n">
        <v>0</v>
      </c>
      <c r="K58" s="2" t="n">
        <v>0</v>
      </c>
      <c r="L58" s="2" t="n">
        <v>9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11</v>
      </c>
      <c r="T58" s="2" t="n">
        <v>1</v>
      </c>
      <c r="U58" s="2" t="n">
        <v>0</v>
      </c>
      <c r="V58" s="2" t="n">
        <v>0</v>
      </c>
      <c r="W58" s="2" t="n">
        <v>1</v>
      </c>
    </row>
    <row r="59" customFormat="false" ht="15" hidden="false" customHeight="false" outlineLevel="0" collapsed="false">
      <c r="A59" s="2" t="s">
        <v>84</v>
      </c>
      <c r="B59" s="2" t="s">
        <v>79</v>
      </c>
      <c r="C59" s="2" t="n">
        <v>0</v>
      </c>
      <c r="D59" s="2" t="n">
        <v>0</v>
      </c>
      <c r="E59" s="2" t="n">
        <v>1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34</v>
      </c>
    </row>
    <row r="60" customFormat="false" ht="15" hidden="false" customHeight="false" outlineLevel="0" collapsed="false">
      <c r="A60" s="2" t="s">
        <v>85</v>
      </c>
      <c r="B60" s="2" t="s">
        <v>79</v>
      </c>
      <c r="C60" s="2" t="n">
        <v>0</v>
      </c>
      <c r="D60" s="2" t="n">
        <v>0</v>
      </c>
      <c r="E60" s="2" t="n">
        <v>1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1</v>
      </c>
      <c r="T60" s="2" t="n">
        <v>0</v>
      </c>
      <c r="U60" s="2" t="n">
        <v>0</v>
      </c>
      <c r="V60" s="2" t="n">
        <v>0</v>
      </c>
      <c r="W60" s="2" t="n">
        <v>20</v>
      </c>
    </row>
    <row r="61" customFormat="false" ht="15" hidden="false" customHeight="false" outlineLevel="0" collapsed="false">
      <c r="A61" s="2" t="s">
        <v>86</v>
      </c>
      <c r="B61" s="2" t="s">
        <v>79</v>
      </c>
      <c r="C61" s="2" t="n">
        <v>1</v>
      </c>
      <c r="D61" s="2" t="n">
        <v>0</v>
      </c>
      <c r="E61" s="2" t="n">
        <v>9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4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</v>
      </c>
      <c r="U61" s="2" t="n">
        <v>0</v>
      </c>
      <c r="V61" s="2" t="n">
        <v>0</v>
      </c>
      <c r="W61" s="2" t="n">
        <v>37</v>
      </c>
    </row>
    <row r="62" customFormat="false" ht="15" hidden="false" customHeight="false" outlineLevel="0" collapsed="false">
      <c r="A62" s="2" t="s">
        <v>87</v>
      </c>
      <c r="B62" s="2" t="s">
        <v>79</v>
      </c>
      <c r="C62" s="2" t="n">
        <v>1</v>
      </c>
      <c r="D62" s="2" t="n">
        <v>8</v>
      </c>
      <c r="E62" s="2" t="n">
        <v>1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</v>
      </c>
      <c r="L62" s="2" t="n">
        <v>1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24</v>
      </c>
    </row>
    <row r="63" customFormat="false" ht="15" hidden="false" customHeight="false" outlineLevel="0" collapsed="false">
      <c r="A63" s="2" t="s">
        <v>88</v>
      </c>
      <c r="B63" s="2" t="s">
        <v>79</v>
      </c>
      <c r="C63" s="2" t="n">
        <v>0</v>
      </c>
      <c r="D63" s="2" t="n">
        <v>6</v>
      </c>
      <c r="E63" s="2" t="n">
        <v>5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3</v>
      </c>
      <c r="M63" s="2" t="n">
        <v>2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28</v>
      </c>
    </row>
    <row r="64" customFormat="false" ht="15" hidden="false" customHeight="false" outlineLevel="0" collapsed="false">
      <c r="A64" s="2" t="s">
        <v>89</v>
      </c>
      <c r="B64" s="2" t="s">
        <v>79</v>
      </c>
      <c r="C64" s="2" t="n">
        <v>5</v>
      </c>
      <c r="D64" s="2" t="n">
        <v>120</v>
      </c>
      <c r="E64" s="2" t="n">
        <v>221</v>
      </c>
      <c r="F64" s="2" t="n">
        <v>2</v>
      </c>
      <c r="G64" s="2" t="n">
        <v>0</v>
      </c>
      <c r="H64" s="2" t="n">
        <v>2</v>
      </c>
      <c r="I64" s="2" t="n">
        <v>7</v>
      </c>
      <c r="J64" s="2" t="n">
        <v>0</v>
      </c>
      <c r="K64" s="2" t="n">
        <v>0</v>
      </c>
      <c r="L64" s="2" t="n">
        <v>3</v>
      </c>
      <c r="M64" s="2" t="n">
        <v>0</v>
      </c>
      <c r="N64" s="2" t="n">
        <v>6</v>
      </c>
      <c r="O64" s="2" t="n">
        <v>5</v>
      </c>
      <c r="P64" s="2" t="n">
        <v>4</v>
      </c>
      <c r="Q64" s="2" t="n">
        <v>0</v>
      </c>
      <c r="R64" s="2" t="n">
        <v>0</v>
      </c>
      <c r="S64" s="2" t="n">
        <v>8</v>
      </c>
      <c r="T64" s="2" t="n">
        <v>4</v>
      </c>
      <c r="U64" s="2" t="n">
        <v>0</v>
      </c>
      <c r="V64" s="2" t="n">
        <v>0</v>
      </c>
      <c r="W64" s="2" t="n">
        <v>155</v>
      </c>
    </row>
    <row r="65" customFormat="false" ht="15" hidden="false" customHeight="false" outlineLevel="0" collapsed="false">
      <c r="A65" s="2" t="s">
        <v>90</v>
      </c>
      <c r="B65" s="2" t="s">
        <v>79</v>
      </c>
      <c r="C65" s="2" t="n">
        <v>0</v>
      </c>
      <c r="D65" s="2" t="n">
        <v>404</v>
      </c>
      <c r="E65" s="2" t="n">
        <v>301</v>
      </c>
      <c r="F65" s="2" t="n">
        <v>3</v>
      </c>
      <c r="G65" s="2" t="n">
        <v>0</v>
      </c>
      <c r="H65" s="2" t="n">
        <v>3</v>
      </c>
      <c r="I65" s="2" t="n">
        <v>3</v>
      </c>
      <c r="J65" s="2" t="n">
        <v>0</v>
      </c>
      <c r="K65" s="2" t="n">
        <v>0</v>
      </c>
      <c r="L65" s="2" t="n">
        <v>3</v>
      </c>
      <c r="M65" s="2" t="n">
        <v>0</v>
      </c>
      <c r="N65" s="2" t="n">
        <v>13</v>
      </c>
      <c r="O65" s="2" t="n">
        <v>13</v>
      </c>
      <c r="P65" s="2" t="n">
        <v>6</v>
      </c>
      <c r="Q65" s="2" t="n">
        <v>0</v>
      </c>
      <c r="R65" s="2" t="n">
        <v>0</v>
      </c>
      <c r="S65" s="2" t="n">
        <v>9</v>
      </c>
      <c r="T65" s="2" t="n">
        <v>7</v>
      </c>
      <c r="U65" s="2" t="n">
        <v>0</v>
      </c>
      <c r="V65" s="2" t="n">
        <v>0</v>
      </c>
      <c r="W65" s="2" t="n">
        <v>214</v>
      </c>
    </row>
    <row r="66" customFormat="false" ht="15" hidden="false" customHeight="false" outlineLevel="0" collapsed="false">
      <c r="A66" s="2" t="s">
        <v>91</v>
      </c>
      <c r="B66" s="2" t="s">
        <v>79</v>
      </c>
      <c r="C66" s="2" t="n">
        <v>1</v>
      </c>
      <c r="D66" s="2" t="n">
        <v>105</v>
      </c>
      <c r="E66" s="2" t="n">
        <v>595</v>
      </c>
      <c r="F66" s="2" t="n">
        <v>0</v>
      </c>
      <c r="G66" s="2" t="n">
        <v>0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4</v>
      </c>
      <c r="O66" s="2" t="n">
        <v>3</v>
      </c>
      <c r="P66" s="2" t="n">
        <v>9</v>
      </c>
      <c r="Q66" s="2" t="n">
        <v>0</v>
      </c>
      <c r="R66" s="2" t="n">
        <v>0</v>
      </c>
      <c r="S66" s="2" t="n">
        <v>9</v>
      </c>
      <c r="T66" s="2" t="n">
        <v>11</v>
      </c>
      <c r="U66" s="2" t="n">
        <v>0</v>
      </c>
      <c r="V66" s="2" t="n">
        <v>0</v>
      </c>
      <c r="W66" s="2" t="n">
        <v>238</v>
      </c>
    </row>
    <row r="67" customFormat="false" ht="15" hidden="false" customHeight="false" outlineLevel="0" collapsed="false">
      <c r="A67" s="2" t="s">
        <v>92</v>
      </c>
      <c r="B67" s="2" t="s">
        <v>79</v>
      </c>
      <c r="C67" s="2" t="n">
        <v>4</v>
      </c>
      <c r="D67" s="2" t="n">
        <v>65</v>
      </c>
      <c r="E67" s="2" t="n">
        <v>796</v>
      </c>
      <c r="F67" s="2" t="n">
        <v>0</v>
      </c>
      <c r="G67" s="2" t="n">
        <v>0</v>
      </c>
      <c r="H67" s="2" t="n">
        <v>4</v>
      </c>
      <c r="I67" s="2" t="n">
        <v>1</v>
      </c>
      <c r="J67" s="2" t="n">
        <v>0</v>
      </c>
      <c r="K67" s="2" t="n">
        <v>0</v>
      </c>
      <c r="L67" s="2" t="n">
        <v>3</v>
      </c>
      <c r="M67" s="2" t="n">
        <v>0</v>
      </c>
      <c r="N67" s="2" t="n">
        <v>2</v>
      </c>
      <c r="O67" s="2" t="n">
        <v>3</v>
      </c>
      <c r="P67" s="2" t="n">
        <v>3</v>
      </c>
      <c r="Q67" s="2" t="n">
        <v>0</v>
      </c>
      <c r="R67" s="2" t="n">
        <v>0</v>
      </c>
      <c r="S67" s="2" t="n">
        <v>12</v>
      </c>
      <c r="T67" s="2" t="n">
        <v>31</v>
      </c>
      <c r="U67" s="2" t="n">
        <v>2</v>
      </c>
      <c r="V67" s="2" t="n">
        <v>0</v>
      </c>
      <c r="W67" s="2" t="n">
        <v>210</v>
      </c>
    </row>
    <row r="68" customFormat="false" ht="15" hidden="false" customHeight="false" outlineLevel="0" collapsed="false">
      <c r="A68" s="2" t="s">
        <v>93</v>
      </c>
      <c r="B68" s="2" t="s">
        <v>79</v>
      </c>
      <c r="C68" s="2" t="n">
        <v>0</v>
      </c>
      <c r="D68" s="2" t="n">
        <v>26</v>
      </c>
      <c r="E68" s="2" t="n">
        <v>288</v>
      </c>
      <c r="F68" s="2" t="n">
        <v>0</v>
      </c>
      <c r="G68" s="2" t="n">
        <v>0</v>
      </c>
      <c r="H68" s="2" t="n">
        <v>4</v>
      </c>
      <c r="I68" s="2" t="n">
        <v>14</v>
      </c>
      <c r="J68" s="2" t="n">
        <v>0</v>
      </c>
      <c r="K68" s="2" t="n">
        <v>0</v>
      </c>
      <c r="L68" s="2" t="n">
        <v>3</v>
      </c>
      <c r="M68" s="2" t="n">
        <v>0</v>
      </c>
      <c r="N68" s="2" t="n">
        <v>1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6</v>
      </c>
      <c r="T68" s="2" t="n">
        <v>18</v>
      </c>
      <c r="U68" s="2" t="n">
        <v>0</v>
      </c>
      <c r="V68" s="2" t="n">
        <v>0</v>
      </c>
      <c r="W68" s="2" t="n">
        <v>10</v>
      </c>
    </row>
    <row r="69" customFormat="false" ht="15" hidden="false" customHeight="false" outlineLevel="0" collapsed="false">
      <c r="A69" s="2" t="s">
        <v>94</v>
      </c>
      <c r="B69" s="2" t="s">
        <v>79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</v>
      </c>
      <c r="H69" s="2" t="n">
        <v>8</v>
      </c>
      <c r="I69" s="2" t="n">
        <v>9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</row>
    <row r="70" customFormat="false" ht="15" hidden="false" customHeight="false" outlineLevel="0" collapsed="false">
      <c r="A70" s="2" t="s">
        <v>95</v>
      </c>
      <c r="B70" s="2" t="s">
        <v>79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7</v>
      </c>
      <c r="J70" s="2" t="n">
        <v>0</v>
      </c>
      <c r="K70" s="2" t="n">
        <v>0</v>
      </c>
      <c r="L70" s="2" t="n">
        <v>1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5</v>
      </c>
    </row>
    <row r="71" customFormat="false" ht="15" hidden="false" customHeight="false" outlineLevel="0" collapsed="false">
      <c r="A71" s="2" t="s">
        <v>96</v>
      </c>
      <c r="B71" s="2" t="s">
        <v>79</v>
      </c>
      <c r="C71" s="2" t="n">
        <v>0</v>
      </c>
      <c r="D71" s="2" t="n">
        <v>4</v>
      </c>
      <c r="E71" s="2" t="n">
        <v>11</v>
      </c>
      <c r="F71" s="2" t="n">
        <v>0</v>
      </c>
      <c r="G71" s="2" t="n">
        <v>0</v>
      </c>
      <c r="H71" s="2" t="n">
        <v>1</v>
      </c>
      <c r="I71" s="2" t="n">
        <v>0</v>
      </c>
      <c r="J71" s="2" t="n">
        <v>0</v>
      </c>
      <c r="K71" s="2" t="n">
        <v>0</v>
      </c>
      <c r="L71" s="2" t="n">
        <v>5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11</v>
      </c>
    </row>
    <row r="72" customFormat="false" ht="15" hidden="false" customHeight="false" outlineLevel="0" collapsed="false">
      <c r="A72" s="2" t="s">
        <v>97</v>
      </c>
      <c r="B72" s="2" t="s">
        <v>79</v>
      </c>
      <c r="C72" s="2" t="n">
        <v>0</v>
      </c>
      <c r="D72" s="2" t="n">
        <v>4</v>
      </c>
      <c r="E72" s="2" t="n">
        <v>7</v>
      </c>
      <c r="F72" s="2" t="n">
        <v>0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6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6</v>
      </c>
    </row>
    <row r="73" customFormat="false" ht="15" hidden="false" customHeight="false" outlineLevel="0" collapsed="false">
      <c r="A73" s="2" t="s">
        <v>98</v>
      </c>
      <c r="B73" s="2" t="s">
        <v>79</v>
      </c>
      <c r="C73" s="2" t="n">
        <v>0</v>
      </c>
      <c r="D73" s="2" t="n">
        <v>22</v>
      </c>
      <c r="E73" s="2" t="n">
        <v>2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7"/>
  </cols>
  <sheetData>
    <row r="1" customFormat="false" ht="31.5" hidden="false" customHeight="true" outlineLevel="0" collapsed="false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customFormat="false" ht="15" hidden="false" customHeight="false" outlineLevel="0" collapsed="false">
      <c r="A2" s="2" t="s">
        <v>111</v>
      </c>
      <c r="B2" s="2" t="s">
        <v>2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1</v>
      </c>
    </row>
    <row r="3" customFormat="false" ht="15" hidden="false" customHeight="false" outlineLevel="0" collapsed="false">
      <c r="A3" s="2" t="s">
        <v>117</v>
      </c>
      <c r="B3" s="2" t="s">
        <v>3</v>
      </c>
      <c r="C3" s="2" t="s">
        <v>118</v>
      </c>
      <c r="D3" s="2" t="s">
        <v>119</v>
      </c>
      <c r="E3" s="2" t="s">
        <v>114</v>
      </c>
      <c r="F3" s="2" t="s">
        <v>120</v>
      </c>
      <c r="G3" s="2" t="s">
        <v>116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1</v>
      </c>
    </row>
    <row r="4" customFormat="false" ht="15" hidden="false" customHeight="false" outlineLevel="0" collapsed="false">
      <c r="A4" s="2" t="s">
        <v>121</v>
      </c>
      <c r="B4" s="2" t="s">
        <v>4</v>
      </c>
      <c r="C4" s="2" t="s">
        <v>122</v>
      </c>
      <c r="D4" s="2" t="s">
        <v>123</v>
      </c>
      <c r="E4" s="2" t="s">
        <v>114</v>
      </c>
      <c r="F4" s="2" t="s">
        <v>120</v>
      </c>
      <c r="G4" s="2" t="s">
        <v>116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</v>
      </c>
    </row>
    <row r="5" customFormat="false" ht="15" hidden="false" customHeight="false" outlineLevel="0" collapsed="false">
      <c r="A5" s="2" t="s">
        <v>124</v>
      </c>
      <c r="B5" s="2" t="s">
        <v>5</v>
      </c>
      <c r="C5" s="2" t="s">
        <v>125</v>
      </c>
      <c r="D5" s="2" t="s">
        <v>126</v>
      </c>
      <c r="E5" s="2" t="s">
        <v>114</v>
      </c>
      <c r="F5" s="2" t="s">
        <v>120</v>
      </c>
      <c r="G5" s="2" t="s">
        <v>116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1</v>
      </c>
    </row>
    <row r="6" customFormat="false" ht="15" hidden="false" customHeight="false" outlineLevel="0" collapsed="false">
      <c r="A6" s="2" t="s">
        <v>127</v>
      </c>
      <c r="B6" s="2" t="s">
        <v>6</v>
      </c>
      <c r="C6" s="2" t="s">
        <v>128</v>
      </c>
      <c r="D6" s="2" t="s">
        <v>129</v>
      </c>
      <c r="E6" s="2" t="s">
        <v>114</v>
      </c>
      <c r="F6" s="2" t="s">
        <v>120</v>
      </c>
      <c r="G6" s="2" t="s">
        <v>116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</row>
    <row r="7" customFormat="false" ht="15" hidden="false" customHeight="false" outlineLevel="0" collapsed="false">
      <c r="A7" s="2" t="s">
        <v>130</v>
      </c>
      <c r="B7" s="2" t="s">
        <v>7</v>
      </c>
      <c r="C7" s="2" t="s">
        <v>131</v>
      </c>
      <c r="D7" s="2" t="s">
        <v>132</v>
      </c>
      <c r="E7" s="2" t="s">
        <v>114</v>
      </c>
      <c r="F7" s="2" t="s">
        <v>120</v>
      </c>
      <c r="G7" s="2" t="s">
        <v>116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1</v>
      </c>
    </row>
    <row r="8" customFormat="false" ht="15" hidden="false" customHeight="false" outlineLevel="0" collapsed="false">
      <c r="A8" s="2" t="s">
        <v>133</v>
      </c>
      <c r="B8" s="2" t="s">
        <v>8</v>
      </c>
      <c r="C8" s="2" t="s">
        <v>134</v>
      </c>
      <c r="D8" s="2" t="s">
        <v>135</v>
      </c>
      <c r="E8" s="2" t="s">
        <v>114</v>
      </c>
      <c r="F8" s="2" t="s">
        <v>120</v>
      </c>
      <c r="G8" s="2" t="s">
        <v>116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1</v>
      </c>
    </row>
    <row r="9" customFormat="false" ht="15" hidden="false" customHeight="false" outlineLevel="0" collapsed="false">
      <c r="A9" s="2" t="s">
        <v>136</v>
      </c>
      <c r="B9" s="2" t="s">
        <v>9</v>
      </c>
      <c r="C9" s="2" t="s">
        <v>137</v>
      </c>
      <c r="D9" s="2" t="s">
        <v>138</v>
      </c>
      <c r="E9" s="2" t="s">
        <v>114</v>
      </c>
      <c r="F9" s="2" t="s">
        <v>120</v>
      </c>
      <c r="G9" s="2" t="s">
        <v>139</v>
      </c>
      <c r="H9" s="2" t="n">
        <v>0</v>
      </c>
      <c r="I9" s="2" t="n">
        <v>1</v>
      </c>
      <c r="J9" s="2" t="n">
        <v>0</v>
      </c>
      <c r="K9" s="2" t="n">
        <v>1</v>
      </c>
      <c r="L9" s="2" t="n">
        <v>0</v>
      </c>
    </row>
    <row r="10" customFormat="false" ht="15" hidden="false" customHeight="false" outlineLevel="0" collapsed="false">
      <c r="A10" s="2" t="s">
        <v>140</v>
      </c>
      <c r="B10" s="2" t="s">
        <v>10</v>
      </c>
      <c r="C10" s="2" t="s">
        <v>141</v>
      </c>
      <c r="D10" s="2" t="s">
        <v>142</v>
      </c>
      <c r="E10" s="2" t="s">
        <v>114</v>
      </c>
      <c r="F10" s="2" t="s">
        <v>115</v>
      </c>
      <c r="G10" s="2" t="s">
        <v>116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1</v>
      </c>
    </row>
    <row r="11" customFormat="false" ht="15" hidden="false" customHeight="false" outlineLevel="0" collapsed="false">
      <c r="A11" s="2" t="s">
        <v>143</v>
      </c>
      <c r="B11" s="2" t="s">
        <v>11</v>
      </c>
      <c r="C11" s="2" t="s">
        <v>144</v>
      </c>
      <c r="D11" s="2" t="s">
        <v>145</v>
      </c>
      <c r="E11" s="2" t="s">
        <v>114</v>
      </c>
      <c r="F11" s="2" t="s">
        <v>120</v>
      </c>
      <c r="G11" s="2" t="s">
        <v>116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1</v>
      </c>
    </row>
    <row r="12" customFormat="false" ht="15" hidden="false" customHeight="false" outlineLevel="0" collapsed="false">
      <c r="A12" s="2" t="s">
        <v>146</v>
      </c>
      <c r="B12" s="2" t="s">
        <v>12</v>
      </c>
      <c r="C12" s="2" t="s">
        <v>147</v>
      </c>
      <c r="D12" s="2" t="s">
        <v>148</v>
      </c>
      <c r="E12" s="2" t="s">
        <v>114</v>
      </c>
      <c r="F12" s="2" t="s">
        <v>115</v>
      </c>
      <c r="G12" s="2" t="s">
        <v>116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1</v>
      </c>
    </row>
    <row r="13" customFormat="false" ht="15" hidden="false" customHeight="false" outlineLevel="0" collapsed="false">
      <c r="A13" s="2" t="s">
        <v>149</v>
      </c>
      <c r="B13" s="2" t="s">
        <v>13</v>
      </c>
      <c r="C13" s="2" t="s">
        <v>150</v>
      </c>
      <c r="D13" s="2" t="s">
        <v>151</v>
      </c>
      <c r="E13" s="2" t="s">
        <v>114</v>
      </c>
      <c r="F13" s="2" t="s">
        <v>152</v>
      </c>
      <c r="G13" s="2" t="s">
        <v>139</v>
      </c>
      <c r="H13" s="2" t="n">
        <v>0</v>
      </c>
      <c r="I13" s="2" t="n">
        <v>0</v>
      </c>
      <c r="J13" s="2" t="n">
        <v>1</v>
      </c>
      <c r="K13" s="2" t="n">
        <v>1</v>
      </c>
      <c r="L13" s="2" t="n">
        <v>0</v>
      </c>
    </row>
    <row r="14" customFormat="false" ht="15" hidden="false" customHeight="false" outlineLevel="0" collapsed="false">
      <c r="A14" s="2" t="s">
        <v>153</v>
      </c>
      <c r="B14" s="2" t="s">
        <v>14</v>
      </c>
      <c r="C14" s="2" t="s">
        <v>154</v>
      </c>
      <c r="D14" s="2" t="s">
        <v>155</v>
      </c>
      <c r="E14" s="2" t="s">
        <v>114</v>
      </c>
      <c r="F14" s="2" t="s">
        <v>152</v>
      </c>
      <c r="G14" s="2" t="s">
        <v>139</v>
      </c>
      <c r="H14" s="2" t="n">
        <v>0</v>
      </c>
      <c r="I14" s="2" t="n">
        <v>0</v>
      </c>
      <c r="J14" s="2" t="n">
        <v>1</v>
      </c>
      <c r="K14" s="2" t="n">
        <v>1</v>
      </c>
      <c r="L14" s="2" t="n">
        <v>0</v>
      </c>
    </row>
    <row r="15" customFormat="false" ht="15" hidden="false" customHeight="false" outlineLevel="0" collapsed="false">
      <c r="A15" s="2" t="s">
        <v>156</v>
      </c>
      <c r="B15" s="2" t="s">
        <v>15</v>
      </c>
      <c r="C15" s="2" t="s">
        <v>157</v>
      </c>
      <c r="D15" s="2" t="s">
        <v>158</v>
      </c>
      <c r="E15" s="2" t="s">
        <v>114</v>
      </c>
      <c r="F15" s="2" t="s">
        <v>120</v>
      </c>
      <c r="G15" s="2" t="s">
        <v>139</v>
      </c>
      <c r="H15" s="2" t="n">
        <v>0</v>
      </c>
      <c r="I15" s="2" t="n">
        <v>1</v>
      </c>
      <c r="J15" s="2" t="n">
        <v>0</v>
      </c>
      <c r="K15" s="2" t="n">
        <v>1</v>
      </c>
      <c r="L15" s="2" t="n">
        <v>0</v>
      </c>
    </row>
    <row r="16" customFormat="false" ht="15" hidden="false" customHeight="false" outlineLevel="0" collapsed="false">
      <c r="A16" s="2" t="s">
        <v>159</v>
      </c>
      <c r="B16" s="2" t="s">
        <v>16</v>
      </c>
      <c r="C16" s="2" t="s">
        <v>160</v>
      </c>
      <c r="D16" s="2" t="s">
        <v>161</v>
      </c>
      <c r="E16" s="2" t="s">
        <v>114</v>
      </c>
      <c r="F16" s="2" t="s">
        <v>115</v>
      </c>
      <c r="G16" s="2" t="s">
        <v>139</v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</row>
    <row r="17" customFormat="false" ht="15" hidden="false" customHeight="false" outlineLevel="0" collapsed="false">
      <c r="A17" s="2" t="s">
        <v>162</v>
      </c>
      <c r="B17" s="2" t="s">
        <v>17</v>
      </c>
      <c r="C17" s="2" t="s">
        <v>163</v>
      </c>
      <c r="D17" s="2" t="s">
        <v>164</v>
      </c>
      <c r="E17" s="2" t="s">
        <v>114</v>
      </c>
      <c r="F17" s="2" t="s">
        <v>115</v>
      </c>
      <c r="G17" s="2" t="s">
        <v>116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1</v>
      </c>
    </row>
    <row r="18" customFormat="false" ht="15" hidden="false" customHeight="false" outlineLevel="0" collapsed="false">
      <c r="A18" s="2" t="s">
        <v>165</v>
      </c>
      <c r="B18" s="2" t="s">
        <v>18</v>
      </c>
      <c r="C18" s="2" t="s">
        <v>166</v>
      </c>
      <c r="D18" s="2" t="s">
        <v>167</v>
      </c>
      <c r="E18" s="2" t="s">
        <v>114</v>
      </c>
      <c r="F18" s="2" t="s">
        <v>115</v>
      </c>
      <c r="G18" s="2" t="s">
        <v>116</v>
      </c>
      <c r="H18" s="2" t="n">
        <v>1</v>
      </c>
      <c r="I18" s="2" t="n">
        <v>0</v>
      </c>
      <c r="J18" s="2" t="n">
        <v>0</v>
      </c>
      <c r="K18" s="2" t="n">
        <v>0</v>
      </c>
      <c r="L18" s="2" t="n">
        <v>1</v>
      </c>
    </row>
    <row r="19" customFormat="false" ht="15" hidden="false" customHeight="false" outlineLevel="0" collapsed="false">
      <c r="A19" s="2" t="s">
        <v>168</v>
      </c>
      <c r="B19" s="2" t="s">
        <v>19</v>
      </c>
      <c r="C19" s="2" t="s">
        <v>169</v>
      </c>
      <c r="D19" s="2" t="s">
        <v>170</v>
      </c>
      <c r="E19" s="2" t="s">
        <v>114</v>
      </c>
      <c r="F19" s="2" t="s">
        <v>115</v>
      </c>
      <c r="G19" s="2" t="s">
        <v>116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1</v>
      </c>
    </row>
    <row r="20" customFormat="false" ht="15" hidden="false" customHeight="false" outlineLevel="0" collapsed="false">
      <c r="A20" s="2" t="s">
        <v>171</v>
      </c>
      <c r="B20" s="2" t="s">
        <v>20</v>
      </c>
      <c r="C20" s="2" t="s">
        <v>172</v>
      </c>
      <c r="D20" s="2" t="s">
        <v>173</v>
      </c>
      <c r="E20" s="2" t="s">
        <v>114</v>
      </c>
      <c r="F20" s="2" t="s">
        <v>115</v>
      </c>
      <c r="G20" s="2" t="s">
        <v>139</v>
      </c>
      <c r="H20" s="2" t="n">
        <v>1</v>
      </c>
      <c r="I20" s="2" t="n">
        <v>0</v>
      </c>
      <c r="J20" s="2" t="n">
        <v>0</v>
      </c>
      <c r="K20" s="2" t="n">
        <v>1</v>
      </c>
      <c r="L20" s="2" t="n">
        <v>0</v>
      </c>
    </row>
    <row r="21" customFormat="false" ht="15" hidden="false" customHeight="false" outlineLevel="0" collapsed="false">
      <c r="A21" s="2" t="s">
        <v>174</v>
      </c>
      <c r="B21" s="2" t="s">
        <v>21</v>
      </c>
      <c r="C21" s="2" t="s">
        <v>175</v>
      </c>
      <c r="D21" s="2" t="s">
        <v>176</v>
      </c>
      <c r="E21" s="2" t="s">
        <v>114</v>
      </c>
      <c r="F21" s="2" t="s">
        <v>115</v>
      </c>
      <c r="G21" s="2" t="s">
        <v>139</v>
      </c>
      <c r="H21" s="2" t="n">
        <v>1</v>
      </c>
      <c r="I21" s="2" t="n">
        <v>0</v>
      </c>
      <c r="J21" s="2" t="n">
        <v>0</v>
      </c>
      <c r="K21" s="2" t="n">
        <v>1</v>
      </c>
      <c r="L21" s="2" t="n">
        <v>0</v>
      </c>
    </row>
    <row r="22" customFormat="false" ht="15" hidden="false" customHeight="false" outlineLevel="0" collapsed="false">
      <c r="A22" s="2" t="s">
        <v>177</v>
      </c>
      <c r="B22" s="2" t="s">
        <v>22</v>
      </c>
      <c r="C22" s="2" t="s">
        <v>22</v>
      </c>
      <c r="D22" s="2" t="s">
        <v>178</v>
      </c>
      <c r="E22" s="2" t="s">
        <v>114</v>
      </c>
      <c r="F22" s="2" t="s">
        <v>115</v>
      </c>
      <c r="G22" s="2" t="s">
        <v>116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8" min="7" style="0" width="14"/>
  </cols>
  <sheetData>
    <row r="1" customFormat="false" ht="31.5" hidden="false" customHeight="true" outlineLevel="0" collapsed="false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187</v>
      </c>
      <c r="D2" s="2" t="n">
        <v>1</v>
      </c>
      <c r="E2" s="3" t="n">
        <v>-73.778389</v>
      </c>
      <c r="F2" s="3" t="n">
        <v>9.297972</v>
      </c>
      <c r="G2" s="2" t="n">
        <v>60</v>
      </c>
      <c r="H2" s="2" t="n">
        <v>210</v>
      </c>
    </row>
    <row r="3" customFormat="false" ht="15" hidden="false" customHeight="false" outlineLevel="0" collapsed="false">
      <c r="A3" s="2" t="s">
        <v>25</v>
      </c>
      <c r="B3" s="2" t="s">
        <v>24</v>
      </c>
      <c r="C3" s="2" t="s">
        <v>187</v>
      </c>
      <c r="D3" s="2" t="n">
        <v>2</v>
      </c>
      <c r="E3" s="3" t="n">
        <v>-73.778389</v>
      </c>
      <c r="F3" s="3" t="n">
        <v>9.297972</v>
      </c>
      <c r="G3" s="2" t="n">
        <v>60</v>
      </c>
      <c r="H3" s="2" t="n">
        <v>210</v>
      </c>
    </row>
    <row r="4" customFormat="false" ht="15" hidden="false" customHeight="false" outlineLevel="0" collapsed="false">
      <c r="A4" s="2" t="s">
        <v>26</v>
      </c>
      <c r="B4" s="2" t="s">
        <v>24</v>
      </c>
      <c r="C4" s="2" t="s">
        <v>187</v>
      </c>
      <c r="D4" s="2" t="n">
        <v>3</v>
      </c>
      <c r="E4" s="3" t="n">
        <v>-73.778389</v>
      </c>
      <c r="F4" s="3" t="n">
        <v>9.297972</v>
      </c>
      <c r="G4" s="2" t="n">
        <v>60</v>
      </c>
      <c r="H4" s="2" t="n">
        <v>210</v>
      </c>
    </row>
    <row r="5" customFormat="false" ht="15" hidden="false" customHeight="false" outlineLevel="0" collapsed="false">
      <c r="A5" s="2" t="s">
        <v>27</v>
      </c>
      <c r="B5" s="2" t="s">
        <v>24</v>
      </c>
      <c r="C5" s="2" t="s">
        <v>187</v>
      </c>
      <c r="D5" s="2" t="n">
        <v>4</v>
      </c>
      <c r="E5" s="3" t="n">
        <v>-73.778389</v>
      </c>
      <c r="F5" s="3" t="n">
        <v>9.297972</v>
      </c>
      <c r="G5" s="2" t="n">
        <v>60</v>
      </c>
      <c r="H5" s="2" t="n">
        <v>210</v>
      </c>
    </row>
    <row r="6" customFormat="false" ht="15" hidden="false" customHeight="false" outlineLevel="0" collapsed="false">
      <c r="A6" s="2" t="s">
        <v>28</v>
      </c>
      <c r="B6" s="2" t="s">
        <v>24</v>
      </c>
      <c r="C6" s="2" t="s">
        <v>187</v>
      </c>
      <c r="D6" s="2" t="n">
        <v>5</v>
      </c>
      <c r="E6" s="3" t="n">
        <v>-73.778389</v>
      </c>
      <c r="F6" s="3" t="n">
        <v>9.297972</v>
      </c>
      <c r="G6" s="2" t="n">
        <v>60</v>
      </c>
      <c r="H6" s="2" t="n">
        <v>210</v>
      </c>
    </row>
    <row r="7" customFormat="false" ht="15" hidden="false" customHeight="false" outlineLevel="0" collapsed="false">
      <c r="A7" s="2" t="s">
        <v>29</v>
      </c>
      <c r="B7" s="2" t="s">
        <v>24</v>
      </c>
      <c r="C7" s="2" t="s">
        <v>187</v>
      </c>
      <c r="D7" s="2" t="n">
        <v>6</v>
      </c>
      <c r="E7" s="3" t="n">
        <v>-73.778389</v>
      </c>
      <c r="F7" s="3" t="n">
        <v>9.297972</v>
      </c>
      <c r="G7" s="2" t="n">
        <v>60</v>
      </c>
      <c r="H7" s="2" t="n">
        <v>210</v>
      </c>
    </row>
    <row r="8" customFormat="false" ht="15" hidden="false" customHeight="false" outlineLevel="0" collapsed="false">
      <c r="A8" s="2" t="s">
        <v>30</v>
      </c>
      <c r="B8" s="2" t="s">
        <v>24</v>
      </c>
      <c r="C8" s="2" t="s">
        <v>187</v>
      </c>
      <c r="D8" s="2" t="n">
        <v>7</v>
      </c>
      <c r="E8" s="3" t="n">
        <v>-73.778389</v>
      </c>
      <c r="F8" s="3" t="n">
        <v>9.297972</v>
      </c>
      <c r="G8" s="2" t="n">
        <v>60</v>
      </c>
      <c r="H8" s="2" t="n">
        <v>210</v>
      </c>
    </row>
    <row r="9" customFormat="false" ht="15" hidden="false" customHeight="false" outlineLevel="0" collapsed="false">
      <c r="A9" s="2" t="s">
        <v>31</v>
      </c>
      <c r="B9" s="2" t="s">
        <v>24</v>
      </c>
      <c r="C9" s="2" t="s">
        <v>187</v>
      </c>
      <c r="D9" s="2" t="n">
        <v>8</v>
      </c>
      <c r="E9" s="3" t="n">
        <v>-73.778389</v>
      </c>
      <c r="F9" s="3" t="n">
        <v>9.297972</v>
      </c>
      <c r="G9" s="2" t="n">
        <v>60</v>
      </c>
      <c r="H9" s="2" t="n">
        <v>210</v>
      </c>
    </row>
    <row r="10" customFormat="false" ht="15" hidden="false" customHeight="false" outlineLevel="0" collapsed="false">
      <c r="A10" s="2" t="s">
        <v>32</v>
      </c>
      <c r="B10" s="2" t="s">
        <v>24</v>
      </c>
      <c r="C10" s="2" t="s">
        <v>187</v>
      </c>
      <c r="D10" s="2" t="n">
        <v>9</v>
      </c>
      <c r="E10" s="3" t="n">
        <v>-73.778389</v>
      </c>
      <c r="F10" s="3" t="n">
        <v>9.297972</v>
      </c>
      <c r="G10" s="2" t="n">
        <v>60</v>
      </c>
      <c r="H10" s="2" t="n">
        <v>210</v>
      </c>
    </row>
    <row r="11" customFormat="false" ht="15" hidden="false" customHeight="false" outlineLevel="0" collapsed="false">
      <c r="A11" s="2" t="s">
        <v>33</v>
      </c>
      <c r="B11" s="2" t="s">
        <v>24</v>
      </c>
      <c r="C11" s="2" t="s">
        <v>187</v>
      </c>
      <c r="D11" s="2" t="n">
        <v>10</v>
      </c>
      <c r="E11" s="3" t="n">
        <v>-73.778389</v>
      </c>
      <c r="F11" s="3" t="n">
        <v>9.297972</v>
      </c>
      <c r="G11" s="2" t="n">
        <v>60</v>
      </c>
      <c r="H11" s="2" t="n">
        <v>210</v>
      </c>
    </row>
    <row r="12" customFormat="false" ht="15" hidden="false" customHeight="false" outlineLevel="0" collapsed="false">
      <c r="A12" s="2" t="s">
        <v>34</v>
      </c>
      <c r="B12" s="2" t="s">
        <v>24</v>
      </c>
      <c r="C12" s="2" t="s">
        <v>188</v>
      </c>
      <c r="D12" s="2" t="n">
        <v>1</v>
      </c>
      <c r="E12" s="3" t="n">
        <v>-73.778389</v>
      </c>
      <c r="F12" s="3" t="n">
        <v>9.297972</v>
      </c>
      <c r="G12" s="2" t="n">
        <v>60</v>
      </c>
      <c r="H12" s="2" t="n">
        <v>210</v>
      </c>
    </row>
    <row r="13" customFormat="false" ht="15" hidden="false" customHeight="false" outlineLevel="0" collapsed="false">
      <c r="A13" s="2" t="s">
        <v>35</v>
      </c>
      <c r="B13" s="2" t="s">
        <v>24</v>
      </c>
      <c r="C13" s="2" t="s">
        <v>188</v>
      </c>
      <c r="D13" s="2" t="n">
        <v>2</v>
      </c>
      <c r="E13" s="3" t="n">
        <v>-73.778389</v>
      </c>
      <c r="F13" s="3" t="n">
        <v>9.297972</v>
      </c>
      <c r="G13" s="2" t="n">
        <v>60</v>
      </c>
      <c r="H13" s="2" t="n">
        <v>210</v>
      </c>
    </row>
    <row r="14" customFormat="false" ht="15" hidden="false" customHeight="false" outlineLevel="0" collapsed="false">
      <c r="A14" s="2" t="s">
        <v>36</v>
      </c>
      <c r="B14" s="2" t="s">
        <v>24</v>
      </c>
      <c r="C14" s="2" t="s">
        <v>188</v>
      </c>
      <c r="D14" s="2" t="n">
        <v>3</v>
      </c>
      <c r="E14" s="3" t="n">
        <v>-73.778389</v>
      </c>
      <c r="F14" s="3" t="n">
        <v>9.297972</v>
      </c>
      <c r="G14" s="2" t="n">
        <v>60</v>
      </c>
      <c r="H14" s="2" t="n">
        <v>210</v>
      </c>
    </row>
    <row r="15" customFormat="false" ht="15" hidden="false" customHeight="false" outlineLevel="0" collapsed="false">
      <c r="A15" s="2" t="s">
        <v>37</v>
      </c>
      <c r="B15" s="2" t="s">
        <v>24</v>
      </c>
      <c r="C15" s="2" t="s">
        <v>188</v>
      </c>
      <c r="D15" s="2" t="n">
        <v>4</v>
      </c>
      <c r="E15" s="3" t="n">
        <v>-73.778389</v>
      </c>
      <c r="F15" s="3" t="n">
        <v>9.297972</v>
      </c>
      <c r="G15" s="2" t="n">
        <v>60</v>
      </c>
      <c r="H15" s="2" t="n">
        <v>210</v>
      </c>
    </row>
    <row r="16" customFormat="false" ht="15" hidden="false" customHeight="false" outlineLevel="0" collapsed="false">
      <c r="A16" s="2" t="s">
        <v>38</v>
      </c>
      <c r="B16" s="2" t="s">
        <v>24</v>
      </c>
      <c r="C16" s="2" t="s">
        <v>188</v>
      </c>
      <c r="D16" s="2" t="n">
        <v>5</v>
      </c>
      <c r="E16" s="3" t="n">
        <v>-73.778389</v>
      </c>
      <c r="F16" s="3" t="n">
        <v>9.297972</v>
      </c>
      <c r="G16" s="2" t="n">
        <v>60</v>
      </c>
      <c r="H16" s="2" t="n">
        <v>210</v>
      </c>
    </row>
    <row r="17" customFormat="false" ht="15" hidden="false" customHeight="false" outlineLevel="0" collapsed="false">
      <c r="A17" s="2" t="s">
        <v>39</v>
      </c>
      <c r="B17" s="2" t="s">
        <v>24</v>
      </c>
      <c r="C17" s="2" t="s">
        <v>188</v>
      </c>
      <c r="D17" s="2" t="n">
        <v>6</v>
      </c>
      <c r="E17" s="3" t="n">
        <v>-73.778389</v>
      </c>
      <c r="F17" s="3" t="n">
        <v>9.297972</v>
      </c>
      <c r="G17" s="2" t="n">
        <v>60</v>
      </c>
      <c r="H17" s="2" t="n">
        <v>210</v>
      </c>
    </row>
    <row r="18" customFormat="false" ht="15" hidden="false" customHeight="false" outlineLevel="0" collapsed="false">
      <c r="A18" s="2" t="s">
        <v>40</v>
      </c>
      <c r="B18" s="2" t="s">
        <v>24</v>
      </c>
      <c r="C18" s="2" t="s">
        <v>188</v>
      </c>
      <c r="D18" s="2" t="n">
        <v>7</v>
      </c>
      <c r="E18" s="3" t="n">
        <v>-73.778389</v>
      </c>
      <c r="F18" s="3" t="n">
        <v>9.297972</v>
      </c>
      <c r="G18" s="2" t="n">
        <v>60</v>
      </c>
      <c r="H18" s="2" t="n">
        <v>210</v>
      </c>
    </row>
    <row r="19" customFormat="false" ht="15" hidden="false" customHeight="false" outlineLevel="0" collapsed="false">
      <c r="A19" s="2" t="s">
        <v>41</v>
      </c>
      <c r="B19" s="2" t="s">
        <v>24</v>
      </c>
      <c r="C19" s="2" t="s">
        <v>188</v>
      </c>
      <c r="D19" s="2" t="n">
        <v>8</v>
      </c>
      <c r="E19" s="3" t="n">
        <v>-73.778389</v>
      </c>
      <c r="F19" s="3" t="n">
        <v>9.297972</v>
      </c>
      <c r="G19" s="2" t="n">
        <v>60</v>
      </c>
      <c r="H19" s="2" t="n">
        <v>210</v>
      </c>
    </row>
    <row r="20" customFormat="false" ht="15" hidden="false" customHeight="false" outlineLevel="0" collapsed="false">
      <c r="A20" s="2" t="s">
        <v>42</v>
      </c>
      <c r="B20" s="2" t="s">
        <v>24</v>
      </c>
      <c r="C20" s="2" t="s">
        <v>188</v>
      </c>
      <c r="D20" s="2" t="n">
        <v>9</v>
      </c>
      <c r="E20" s="3" t="n">
        <v>-73.778389</v>
      </c>
      <c r="F20" s="3" t="n">
        <v>9.297972</v>
      </c>
      <c r="G20" s="2" t="n">
        <v>60</v>
      </c>
      <c r="H20" s="2" t="n">
        <v>210</v>
      </c>
    </row>
    <row r="21" customFormat="false" ht="15" hidden="false" customHeight="false" outlineLevel="0" collapsed="false">
      <c r="A21" s="2" t="s">
        <v>43</v>
      </c>
      <c r="B21" s="2" t="s">
        <v>24</v>
      </c>
      <c r="C21" s="2" t="s">
        <v>188</v>
      </c>
      <c r="D21" s="2" t="n">
        <v>10</v>
      </c>
      <c r="E21" s="3" t="n">
        <v>-73.778389</v>
      </c>
      <c r="F21" s="3" t="n">
        <v>9.297972</v>
      </c>
      <c r="G21" s="2" t="n">
        <v>60</v>
      </c>
      <c r="H21" s="2" t="n">
        <v>210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187</v>
      </c>
      <c r="D22" s="2" t="n">
        <v>1</v>
      </c>
      <c r="E22" s="3" t="n">
        <v>-73.774917</v>
      </c>
      <c r="F22" s="3" t="n">
        <v>9.297639</v>
      </c>
      <c r="G22" s="2" t="n">
        <v>30</v>
      </c>
      <c r="H22" s="2" t="n">
        <v>70</v>
      </c>
    </row>
    <row r="23" customFormat="false" ht="15" hidden="false" customHeight="false" outlineLevel="0" collapsed="false">
      <c r="A23" s="2" t="s">
        <v>46</v>
      </c>
      <c r="B23" s="2" t="s">
        <v>45</v>
      </c>
      <c r="C23" s="2" t="s">
        <v>187</v>
      </c>
      <c r="D23" s="2" t="n">
        <v>2</v>
      </c>
      <c r="E23" s="3" t="n">
        <v>-73.774917</v>
      </c>
      <c r="F23" s="3" t="n">
        <v>9.297639</v>
      </c>
      <c r="G23" s="2" t="n">
        <v>30</v>
      </c>
      <c r="H23" s="2" t="n">
        <v>70</v>
      </c>
    </row>
    <row r="24" customFormat="false" ht="15" hidden="false" customHeight="false" outlineLevel="0" collapsed="false">
      <c r="A24" s="2" t="s">
        <v>47</v>
      </c>
      <c r="B24" s="2" t="s">
        <v>45</v>
      </c>
      <c r="C24" s="2" t="s">
        <v>187</v>
      </c>
      <c r="D24" s="2" t="n">
        <v>3</v>
      </c>
      <c r="E24" s="3" t="n">
        <v>-73.774917</v>
      </c>
      <c r="F24" s="3" t="n">
        <v>9.297639</v>
      </c>
      <c r="G24" s="2" t="n">
        <v>30</v>
      </c>
      <c r="H24" s="2" t="n">
        <v>70</v>
      </c>
    </row>
    <row r="25" customFormat="false" ht="15" hidden="false" customHeight="false" outlineLevel="0" collapsed="false">
      <c r="A25" s="2" t="s">
        <v>48</v>
      </c>
      <c r="B25" s="2" t="s">
        <v>45</v>
      </c>
      <c r="C25" s="2" t="s">
        <v>187</v>
      </c>
      <c r="D25" s="2" t="n">
        <v>4</v>
      </c>
      <c r="E25" s="3" t="n">
        <v>-73.774917</v>
      </c>
      <c r="F25" s="3" t="n">
        <v>9.297639</v>
      </c>
      <c r="G25" s="2" t="n">
        <v>30</v>
      </c>
      <c r="H25" s="2" t="n">
        <v>70</v>
      </c>
    </row>
    <row r="26" customFormat="false" ht="15" hidden="false" customHeight="false" outlineLevel="0" collapsed="false">
      <c r="A26" s="2" t="s">
        <v>49</v>
      </c>
      <c r="B26" s="2" t="s">
        <v>45</v>
      </c>
      <c r="C26" s="2" t="s">
        <v>187</v>
      </c>
      <c r="D26" s="2" t="n">
        <v>5</v>
      </c>
      <c r="E26" s="3" t="n">
        <v>-73.774917</v>
      </c>
      <c r="F26" s="3" t="n">
        <v>9.297639</v>
      </c>
      <c r="G26" s="2" t="n">
        <v>30</v>
      </c>
      <c r="H26" s="2" t="n">
        <v>70</v>
      </c>
    </row>
    <row r="27" customFormat="false" ht="15" hidden="false" customHeight="false" outlineLevel="0" collapsed="false">
      <c r="A27" s="2" t="s">
        <v>50</v>
      </c>
      <c r="B27" s="2" t="s">
        <v>45</v>
      </c>
      <c r="C27" s="2" t="s">
        <v>187</v>
      </c>
      <c r="D27" s="2" t="n">
        <v>6</v>
      </c>
      <c r="E27" s="3" t="n">
        <v>-73.774917</v>
      </c>
      <c r="F27" s="3" t="n">
        <v>9.297639</v>
      </c>
      <c r="G27" s="2" t="n">
        <v>30</v>
      </c>
      <c r="H27" s="2" t="n">
        <v>70</v>
      </c>
    </row>
    <row r="28" customFormat="false" ht="15" hidden="false" customHeight="false" outlineLevel="0" collapsed="false">
      <c r="A28" s="2" t="s">
        <v>51</v>
      </c>
      <c r="B28" s="2" t="s">
        <v>45</v>
      </c>
      <c r="C28" s="2" t="s">
        <v>187</v>
      </c>
      <c r="D28" s="2" t="n">
        <v>7</v>
      </c>
      <c r="E28" s="3" t="n">
        <v>-73.774917</v>
      </c>
      <c r="F28" s="3" t="n">
        <v>9.297639</v>
      </c>
      <c r="G28" s="2" t="n">
        <v>30</v>
      </c>
      <c r="H28" s="2" t="n">
        <v>70</v>
      </c>
    </row>
    <row r="29" customFormat="false" ht="15" hidden="false" customHeight="false" outlineLevel="0" collapsed="false">
      <c r="A29" s="2" t="s">
        <v>52</v>
      </c>
      <c r="B29" s="2" t="s">
        <v>45</v>
      </c>
      <c r="C29" s="2" t="s">
        <v>187</v>
      </c>
      <c r="D29" s="2" t="n">
        <v>8</v>
      </c>
      <c r="E29" s="3" t="n">
        <v>-73.774917</v>
      </c>
      <c r="F29" s="3" t="n">
        <v>9.297639</v>
      </c>
      <c r="G29" s="2" t="n">
        <v>30</v>
      </c>
      <c r="H29" s="2" t="n">
        <v>70</v>
      </c>
    </row>
    <row r="30" customFormat="false" ht="15" hidden="false" customHeight="false" outlineLevel="0" collapsed="false">
      <c r="A30" s="2" t="s">
        <v>53</v>
      </c>
      <c r="B30" s="2" t="s">
        <v>45</v>
      </c>
      <c r="C30" s="2" t="s">
        <v>187</v>
      </c>
      <c r="D30" s="2" t="n">
        <v>9</v>
      </c>
      <c r="E30" s="3" t="n">
        <v>-73.774917</v>
      </c>
      <c r="F30" s="3" t="n">
        <v>9.297639</v>
      </c>
      <c r="G30" s="2" t="n">
        <v>30</v>
      </c>
      <c r="H30" s="2" t="n">
        <v>70</v>
      </c>
    </row>
    <row r="31" customFormat="false" ht="15" hidden="false" customHeight="false" outlineLevel="0" collapsed="false">
      <c r="A31" s="2" t="s">
        <v>54</v>
      </c>
      <c r="B31" s="2" t="s">
        <v>45</v>
      </c>
      <c r="C31" s="2" t="s">
        <v>187</v>
      </c>
      <c r="D31" s="2" t="n">
        <v>10</v>
      </c>
      <c r="E31" s="3" t="n">
        <v>-73.774917</v>
      </c>
      <c r="F31" s="3" t="n">
        <v>9.297639</v>
      </c>
      <c r="G31" s="2" t="n">
        <v>30</v>
      </c>
      <c r="H31" s="2" t="n">
        <v>70</v>
      </c>
    </row>
    <row r="32" customFormat="false" ht="15" hidden="false" customHeight="false" outlineLevel="0" collapsed="false">
      <c r="A32" s="2" t="s">
        <v>55</v>
      </c>
      <c r="B32" s="2" t="s">
        <v>45</v>
      </c>
      <c r="C32" s="2" t="s">
        <v>188</v>
      </c>
      <c r="D32" s="2" t="n">
        <v>1</v>
      </c>
      <c r="E32" s="3" t="n">
        <v>-73.774917</v>
      </c>
      <c r="F32" s="3" t="n">
        <v>9.297639</v>
      </c>
      <c r="G32" s="2" t="n">
        <v>30</v>
      </c>
      <c r="H32" s="2" t="n">
        <v>70</v>
      </c>
    </row>
    <row r="33" customFormat="false" ht="15" hidden="false" customHeight="false" outlineLevel="0" collapsed="false">
      <c r="A33" s="2" t="s">
        <v>56</v>
      </c>
      <c r="B33" s="2" t="s">
        <v>45</v>
      </c>
      <c r="C33" s="2" t="s">
        <v>188</v>
      </c>
      <c r="D33" s="2" t="n">
        <v>2</v>
      </c>
      <c r="E33" s="3" t="n">
        <v>-73.774917</v>
      </c>
      <c r="F33" s="3" t="n">
        <v>9.297639</v>
      </c>
      <c r="G33" s="2" t="n">
        <v>30</v>
      </c>
      <c r="H33" s="2" t="n">
        <v>70</v>
      </c>
    </row>
    <row r="34" customFormat="false" ht="15" hidden="false" customHeight="false" outlineLevel="0" collapsed="false">
      <c r="A34" s="2" t="s">
        <v>57</v>
      </c>
      <c r="B34" s="2" t="s">
        <v>45</v>
      </c>
      <c r="C34" s="2" t="s">
        <v>188</v>
      </c>
      <c r="D34" s="2" t="n">
        <v>3</v>
      </c>
      <c r="E34" s="3" t="n">
        <v>-73.774917</v>
      </c>
      <c r="F34" s="3" t="n">
        <v>9.297639</v>
      </c>
      <c r="G34" s="2" t="n">
        <v>30</v>
      </c>
      <c r="H34" s="2" t="n">
        <v>70</v>
      </c>
    </row>
    <row r="35" customFormat="false" ht="15" hidden="false" customHeight="false" outlineLevel="0" collapsed="false">
      <c r="A35" s="2" t="s">
        <v>58</v>
      </c>
      <c r="B35" s="2" t="s">
        <v>45</v>
      </c>
      <c r="C35" s="2" t="s">
        <v>188</v>
      </c>
      <c r="D35" s="2" t="n">
        <v>4</v>
      </c>
      <c r="E35" s="3" t="n">
        <v>-73.774917</v>
      </c>
      <c r="F35" s="3" t="n">
        <v>9.297639</v>
      </c>
      <c r="G35" s="2" t="n">
        <v>30</v>
      </c>
      <c r="H35" s="2" t="n">
        <v>70</v>
      </c>
    </row>
    <row r="36" customFormat="false" ht="15" hidden="false" customHeight="false" outlineLevel="0" collapsed="false">
      <c r="A36" s="2" t="s">
        <v>59</v>
      </c>
      <c r="B36" s="2" t="s">
        <v>45</v>
      </c>
      <c r="C36" s="2" t="s">
        <v>188</v>
      </c>
      <c r="D36" s="2" t="n">
        <v>5</v>
      </c>
      <c r="E36" s="3" t="n">
        <v>-73.774917</v>
      </c>
      <c r="F36" s="3" t="n">
        <v>9.297639</v>
      </c>
      <c r="G36" s="2" t="n">
        <v>30</v>
      </c>
      <c r="H36" s="2" t="n">
        <v>70</v>
      </c>
    </row>
    <row r="37" customFormat="false" ht="15" hidden="false" customHeight="false" outlineLevel="0" collapsed="false">
      <c r="A37" s="2" t="s">
        <v>60</v>
      </c>
      <c r="B37" s="2" t="s">
        <v>45</v>
      </c>
      <c r="C37" s="2" t="s">
        <v>188</v>
      </c>
      <c r="D37" s="2" t="n">
        <v>8</v>
      </c>
      <c r="E37" s="3" t="n">
        <v>-73.774917</v>
      </c>
      <c r="F37" s="3" t="n">
        <v>9.297639</v>
      </c>
      <c r="G37" s="2" t="n">
        <v>30</v>
      </c>
      <c r="H37" s="2" t="n">
        <v>70</v>
      </c>
    </row>
    <row r="38" customFormat="false" ht="15" hidden="false" customHeight="false" outlineLevel="0" collapsed="false">
      <c r="A38" s="2" t="s">
        <v>61</v>
      </c>
      <c r="B38" s="2" t="s">
        <v>45</v>
      </c>
      <c r="C38" s="2" t="s">
        <v>188</v>
      </c>
      <c r="D38" s="2" t="n">
        <v>9</v>
      </c>
      <c r="E38" s="3" t="n">
        <v>-73.774917</v>
      </c>
      <c r="F38" s="3" t="n">
        <v>9.297639</v>
      </c>
      <c r="G38" s="2" t="n">
        <v>30</v>
      </c>
      <c r="H38" s="2" t="n">
        <v>70</v>
      </c>
    </row>
    <row r="39" customFormat="false" ht="15" hidden="false" customHeight="false" outlineLevel="0" collapsed="false">
      <c r="A39" s="2" t="s">
        <v>62</v>
      </c>
      <c r="B39" s="2" t="s">
        <v>45</v>
      </c>
      <c r="C39" s="2" t="s">
        <v>188</v>
      </c>
      <c r="D39" s="2" t="n">
        <v>10</v>
      </c>
      <c r="E39" s="3" t="n">
        <v>-73.774917</v>
      </c>
      <c r="F39" s="3" t="n">
        <v>9.297639</v>
      </c>
      <c r="G39" s="2" t="n">
        <v>30</v>
      </c>
      <c r="H39" s="2" t="n">
        <v>70</v>
      </c>
    </row>
    <row r="40" customFormat="false" ht="15" hidden="false" customHeight="false" outlineLevel="0" collapsed="false">
      <c r="A40" s="2" t="s">
        <v>63</v>
      </c>
      <c r="B40" s="2" t="s">
        <v>64</v>
      </c>
      <c r="C40" s="2" t="s">
        <v>187</v>
      </c>
      <c r="D40" s="2" t="n">
        <v>1</v>
      </c>
      <c r="E40" s="3" t="n">
        <v>-73.814111</v>
      </c>
      <c r="F40" s="3" t="n">
        <v>9.305778</v>
      </c>
      <c r="G40" s="2" t="n">
        <v>60</v>
      </c>
      <c r="H40" s="2" t="n">
        <v>60</v>
      </c>
    </row>
    <row r="41" customFormat="false" ht="15" hidden="false" customHeight="false" outlineLevel="0" collapsed="false">
      <c r="A41" s="2" t="s">
        <v>65</v>
      </c>
      <c r="B41" s="2" t="s">
        <v>64</v>
      </c>
      <c r="C41" s="2" t="s">
        <v>187</v>
      </c>
      <c r="D41" s="2" t="n">
        <v>2</v>
      </c>
      <c r="E41" s="3" t="n">
        <v>-73.814111</v>
      </c>
      <c r="F41" s="3" t="n">
        <v>9.305778</v>
      </c>
      <c r="G41" s="2" t="n">
        <v>60</v>
      </c>
      <c r="H41" s="2" t="n">
        <v>60</v>
      </c>
    </row>
    <row r="42" customFormat="false" ht="15" hidden="false" customHeight="false" outlineLevel="0" collapsed="false">
      <c r="A42" s="2" t="s">
        <v>66</v>
      </c>
      <c r="B42" s="2" t="s">
        <v>64</v>
      </c>
      <c r="C42" s="2" t="s">
        <v>187</v>
      </c>
      <c r="D42" s="2" t="n">
        <v>3</v>
      </c>
      <c r="E42" s="3" t="n">
        <v>-73.814111</v>
      </c>
      <c r="F42" s="3" t="n">
        <v>9.305778</v>
      </c>
      <c r="G42" s="2" t="n">
        <v>60</v>
      </c>
      <c r="H42" s="2" t="n">
        <v>60</v>
      </c>
    </row>
    <row r="43" customFormat="false" ht="15" hidden="false" customHeight="false" outlineLevel="0" collapsed="false">
      <c r="A43" s="2" t="s">
        <v>67</v>
      </c>
      <c r="B43" s="2" t="s">
        <v>64</v>
      </c>
      <c r="C43" s="2" t="s">
        <v>187</v>
      </c>
      <c r="D43" s="2" t="n">
        <v>6</v>
      </c>
      <c r="E43" s="3" t="n">
        <v>-73.814111</v>
      </c>
      <c r="F43" s="3" t="n">
        <v>9.305778</v>
      </c>
      <c r="G43" s="2" t="n">
        <v>60</v>
      </c>
      <c r="H43" s="2" t="n">
        <v>60</v>
      </c>
    </row>
    <row r="44" customFormat="false" ht="15" hidden="false" customHeight="false" outlineLevel="0" collapsed="false">
      <c r="A44" s="2" t="s">
        <v>68</v>
      </c>
      <c r="B44" s="2" t="s">
        <v>64</v>
      </c>
      <c r="C44" s="2" t="s">
        <v>187</v>
      </c>
      <c r="D44" s="2" t="n">
        <v>7</v>
      </c>
      <c r="E44" s="3" t="n">
        <v>-73.814111</v>
      </c>
      <c r="F44" s="3" t="n">
        <v>9.305778</v>
      </c>
      <c r="G44" s="2" t="n">
        <v>60</v>
      </c>
      <c r="H44" s="2" t="n">
        <v>60</v>
      </c>
    </row>
    <row r="45" customFormat="false" ht="15" hidden="false" customHeight="false" outlineLevel="0" collapsed="false">
      <c r="A45" s="2" t="s">
        <v>69</v>
      </c>
      <c r="B45" s="2" t="s">
        <v>64</v>
      </c>
      <c r="C45" s="2" t="s">
        <v>187</v>
      </c>
      <c r="D45" s="2" t="n">
        <v>10</v>
      </c>
      <c r="E45" s="3" t="n">
        <v>-73.814111</v>
      </c>
      <c r="F45" s="3" t="n">
        <v>9.305778</v>
      </c>
      <c r="G45" s="2" t="n">
        <v>60</v>
      </c>
      <c r="H45" s="2" t="n">
        <v>60</v>
      </c>
    </row>
    <row r="46" customFormat="false" ht="15" hidden="false" customHeight="false" outlineLevel="0" collapsed="false">
      <c r="A46" s="2" t="s">
        <v>70</v>
      </c>
      <c r="B46" s="2" t="s">
        <v>64</v>
      </c>
      <c r="C46" s="2" t="s">
        <v>188</v>
      </c>
      <c r="D46" s="2" t="n">
        <v>1</v>
      </c>
      <c r="E46" s="3" t="n">
        <v>-73.814111</v>
      </c>
      <c r="F46" s="3" t="n">
        <v>9.305778</v>
      </c>
      <c r="G46" s="2" t="n">
        <v>60</v>
      </c>
      <c r="H46" s="2" t="n">
        <v>60</v>
      </c>
    </row>
    <row r="47" customFormat="false" ht="15" hidden="false" customHeight="false" outlineLevel="0" collapsed="false">
      <c r="A47" s="2" t="s">
        <v>71</v>
      </c>
      <c r="B47" s="2" t="s">
        <v>64</v>
      </c>
      <c r="C47" s="2" t="s">
        <v>188</v>
      </c>
      <c r="D47" s="2" t="n">
        <v>2</v>
      </c>
      <c r="E47" s="3" t="n">
        <v>-73.814111</v>
      </c>
      <c r="F47" s="3" t="n">
        <v>9.305778</v>
      </c>
      <c r="G47" s="2" t="n">
        <v>60</v>
      </c>
      <c r="H47" s="2" t="n">
        <v>60</v>
      </c>
    </row>
    <row r="48" customFormat="false" ht="15" hidden="false" customHeight="false" outlineLevel="0" collapsed="false">
      <c r="A48" s="2" t="s">
        <v>72</v>
      </c>
      <c r="B48" s="2" t="s">
        <v>64</v>
      </c>
      <c r="C48" s="2" t="s">
        <v>188</v>
      </c>
      <c r="D48" s="2" t="n">
        <v>3</v>
      </c>
      <c r="E48" s="3" t="n">
        <v>-73.814111</v>
      </c>
      <c r="F48" s="3" t="n">
        <v>9.305778</v>
      </c>
      <c r="G48" s="2" t="n">
        <v>60</v>
      </c>
      <c r="H48" s="2" t="n">
        <v>60</v>
      </c>
    </row>
    <row r="49" customFormat="false" ht="15" hidden="false" customHeight="false" outlineLevel="0" collapsed="false">
      <c r="A49" s="2" t="s">
        <v>73</v>
      </c>
      <c r="B49" s="2" t="s">
        <v>64</v>
      </c>
      <c r="C49" s="2" t="s">
        <v>188</v>
      </c>
      <c r="D49" s="2" t="n">
        <v>4</v>
      </c>
      <c r="E49" s="3" t="n">
        <v>-73.814111</v>
      </c>
      <c r="F49" s="3" t="n">
        <v>9.305778</v>
      </c>
      <c r="G49" s="2" t="n">
        <v>60</v>
      </c>
      <c r="H49" s="2" t="n">
        <v>60</v>
      </c>
    </row>
    <row r="50" customFormat="false" ht="15" hidden="false" customHeight="false" outlineLevel="0" collapsed="false">
      <c r="A50" s="2" t="s">
        <v>74</v>
      </c>
      <c r="B50" s="2" t="s">
        <v>64</v>
      </c>
      <c r="C50" s="2" t="s">
        <v>188</v>
      </c>
      <c r="D50" s="2" t="n">
        <v>5</v>
      </c>
      <c r="E50" s="3" t="n">
        <v>-73.814111</v>
      </c>
      <c r="F50" s="3" t="n">
        <v>9.305778</v>
      </c>
      <c r="G50" s="2" t="n">
        <v>60</v>
      </c>
      <c r="H50" s="2" t="n">
        <v>60</v>
      </c>
    </row>
    <row r="51" customFormat="false" ht="15" hidden="false" customHeight="false" outlineLevel="0" collapsed="false">
      <c r="A51" s="2" t="s">
        <v>75</v>
      </c>
      <c r="B51" s="2" t="s">
        <v>64</v>
      </c>
      <c r="C51" s="2" t="s">
        <v>188</v>
      </c>
      <c r="D51" s="2" t="n">
        <v>6</v>
      </c>
      <c r="E51" s="3" t="n">
        <v>-73.814111</v>
      </c>
      <c r="F51" s="3" t="n">
        <v>9.305778</v>
      </c>
      <c r="G51" s="2" t="n">
        <v>60</v>
      </c>
      <c r="H51" s="2" t="n">
        <v>60</v>
      </c>
    </row>
    <row r="52" customFormat="false" ht="15" hidden="false" customHeight="false" outlineLevel="0" collapsed="false">
      <c r="A52" s="2" t="s">
        <v>76</v>
      </c>
      <c r="B52" s="2" t="s">
        <v>64</v>
      </c>
      <c r="C52" s="2" t="s">
        <v>188</v>
      </c>
      <c r="D52" s="2" t="n">
        <v>8</v>
      </c>
      <c r="E52" s="3" t="n">
        <v>-73.814111</v>
      </c>
      <c r="F52" s="3" t="n">
        <v>9.305778</v>
      </c>
      <c r="G52" s="2" t="n">
        <v>60</v>
      </c>
      <c r="H52" s="2" t="n">
        <v>60</v>
      </c>
    </row>
    <row r="53" customFormat="false" ht="15" hidden="false" customHeight="false" outlineLevel="0" collapsed="false">
      <c r="A53" s="2" t="s">
        <v>77</v>
      </c>
      <c r="B53" s="2" t="s">
        <v>64</v>
      </c>
      <c r="C53" s="2" t="s">
        <v>188</v>
      </c>
      <c r="D53" s="2" t="n">
        <v>10</v>
      </c>
      <c r="E53" s="3" t="n">
        <v>-73.814111</v>
      </c>
      <c r="F53" s="3" t="n">
        <v>9.305778</v>
      </c>
      <c r="G53" s="2" t="n">
        <v>60</v>
      </c>
      <c r="H53" s="2" t="n">
        <v>60</v>
      </c>
    </row>
    <row r="54" customFormat="false" ht="15" hidden="false" customHeight="false" outlineLevel="0" collapsed="false">
      <c r="A54" s="2" t="s">
        <v>78</v>
      </c>
      <c r="B54" s="2" t="s">
        <v>79</v>
      </c>
      <c r="C54" s="2" t="s">
        <v>187</v>
      </c>
      <c r="D54" s="2" t="n">
        <v>1</v>
      </c>
      <c r="E54" s="3" t="n">
        <v>-73.807778</v>
      </c>
      <c r="F54" s="3" t="n">
        <v>9.353944</v>
      </c>
      <c r="G54" s="2" t="n">
        <v>50</v>
      </c>
      <c r="H54" s="2" t="n">
        <v>70</v>
      </c>
    </row>
    <row r="55" customFormat="false" ht="15" hidden="false" customHeight="false" outlineLevel="0" collapsed="false">
      <c r="A55" s="2" t="s">
        <v>80</v>
      </c>
      <c r="B55" s="2" t="s">
        <v>79</v>
      </c>
      <c r="C55" s="2" t="s">
        <v>187</v>
      </c>
      <c r="D55" s="2" t="n">
        <v>2</v>
      </c>
      <c r="E55" s="3" t="n">
        <v>-73.807778</v>
      </c>
      <c r="F55" s="3" t="n">
        <v>9.353944</v>
      </c>
      <c r="G55" s="2" t="n">
        <v>50</v>
      </c>
      <c r="H55" s="2" t="n">
        <v>70</v>
      </c>
    </row>
    <row r="56" customFormat="false" ht="15" hidden="false" customHeight="false" outlineLevel="0" collapsed="false">
      <c r="A56" s="2" t="s">
        <v>81</v>
      </c>
      <c r="B56" s="2" t="s">
        <v>79</v>
      </c>
      <c r="C56" s="2" t="s">
        <v>187</v>
      </c>
      <c r="D56" s="2" t="n">
        <v>3</v>
      </c>
      <c r="E56" s="3" t="n">
        <v>-73.807778</v>
      </c>
      <c r="F56" s="3" t="n">
        <v>9.353944</v>
      </c>
      <c r="G56" s="2" t="n">
        <v>50</v>
      </c>
      <c r="H56" s="2" t="n">
        <v>70</v>
      </c>
    </row>
    <row r="57" customFormat="false" ht="15" hidden="false" customHeight="false" outlineLevel="0" collapsed="false">
      <c r="A57" s="2" t="s">
        <v>82</v>
      </c>
      <c r="B57" s="2" t="s">
        <v>79</v>
      </c>
      <c r="C57" s="2" t="s">
        <v>187</v>
      </c>
      <c r="D57" s="2" t="n">
        <v>4</v>
      </c>
      <c r="E57" s="3" t="n">
        <v>-73.807778</v>
      </c>
      <c r="F57" s="3" t="n">
        <v>9.353944</v>
      </c>
      <c r="G57" s="2" t="n">
        <v>50</v>
      </c>
      <c r="H57" s="2" t="n">
        <v>70</v>
      </c>
    </row>
    <row r="58" customFormat="false" ht="15" hidden="false" customHeight="false" outlineLevel="0" collapsed="false">
      <c r="A58" s="2" t="s">
        <v>83</v>
      </c>
      <c r="B58" s="2" t="s">
        <v>79</v>
      </c>
      <c r="C58" s="2" t="s">
        <v>187</v>
      </c>
      <c r="D58" s="2" t="n">
        <v>5</v>
      </c>
      <c r="E58" s="3" t="n">
        <v>-73.807778</v>
      </c>
      <c r="F58" s="3" t="n">
        <v>9.353944</v>
      </c>
      <c r="G58" s="2" t="n">
        <v>50</v>
      </c>
      <c r="H58" s="2" t="n">
        <v>70</v>
      </c>
    </row>
    <row r="59" customFormat="false" ht="15" hidden="false" customHeight="false" outlineLevel="0" collapsed="false">
      <c r="A59" s="2" t="s">
        <v>84</v>
      </c>
      <c r="B59" s="2" t="s">
        <v>79</v>
      </c>
      <c r="C59" s="2" t="s">
        <v>187</v>
      </c>
      <c r="D59" s="2" t="n">
        <v>6</v>
      </c>
      <c r="E59" s="3" t="n">
        <v>-73.807778</v>
      </c>
      <c r="F59" s="3" t="n">
        <v>9.353944</v>
      </c>
      <c r="G59" s="2" t="n">
        <v>50</v>
      </c>
      <c r="H59" s="2" t="n">
        <v>70</v>
      </c>
    </row>
    <row r="60" customFormat="false" ht="15" hidden="false" customHeight="false" outlineLevel="0" collapsed="false">
      <c r="A60" s="2" t="s">
        <v>85</v>
      </c>
      <c r="B60" s="2" t="s">
        <v>79</v>
      </c>
      <c r="C60" s="2" t="s">
        <v>187</v>
      </c>
      <c r="D60" s="2" t="n">
        <v>7</v>
      </c>
      <c r="E60" s="3" t="n">
        <v>-73.807778</v>
      </c>
      <c r="F60" s="3" t="n">
        <v>9.353944</v>
      </c>
      <c r="G60" s="2" t="n">
        <v>50</v>
      </c>
      <c r="H60" s="2" t="n">
        <v>70</v>
      </c>
    </row>
    <row r="61" customFormat="false" ht="15" hidden="false" customHeight="false" outlineLevel="0" collapsed="false">
      <c r="A61" s="2" t="s">
        <v>86</v>
      </c>
      <c r="B61" s="2" t="s">
        <v>79</v>
      </c>
      <c r="C61" s="2" t="s">
        <v>187</v>
      </c>
      <c r="D61" s="2" t="n">
        <v>8</v>
      </c>
      <c r="E61" s="3" t="n">
        <v>-73.807778</v>
      </c>
      <c r="F61" s="3" t="n">
        <v>9.353944</v>
      </c>
      <c r="G61" s="2" t="n">
        <v>50</v>
      </c>
      <c r="H61" s="2" t="n">
        <v>70</v>
      </c>
    </row>
    <row r="62" customFormat="false" ht="15" hidden="false" customHeight="false" outlineLevel="0" collapsed="false">
      <c r="A62" s="2" t="s">
        <v>87</v>
      </c>
      <c r="B62" s="2" t="s">
        <v>79</v>
      </c>
      <c r="C62" s="2" t="s">
        <v>187</v>
      </c>
      <c r="D62" s="2" t="n">
        <v>9</v>
      </c>
      <c r="E62" s="3" t="n">
        <v>-73.807778</v>
      </c>
      <c r="F62" s="3" t="n">
        <v>9.353944</v>
      </c>
      <c r="G62" s="2" t="n">
        <v>50</v>
      </c>
      <c r="H62" s="2" t="n">
        <v>70</v>
      </c>
    </row>
    <row r="63" customFormat="false" ht="15" hidden="false" customHeight="false" outlineLevel="0" collapsed="false">
      <c r="A63" s="2" t="s">
        <v>88</v>
      </c>
      <c r="B63" s="2" t="s">
        <v>79</v>
      </c>
      <c r="C63" s="2" t="s">
        <v>187</v>
      </c>
      <c r="D63" s="2" t="n">
        <v>10</v>
      </c>
      <c r="E63" s="3" t="n">
        <v>-73.807778</v>
      </c>
      <c r="F63" s="3" t="n">
        <v>9.353944</v>
      </c>
      <c r="G63" s="2" t="n">
        <v>50</v>
      </c>
      <c r="H63" s="2" t="n">
        <v>70</v>
      </c>
    </row>
    <row r="64" customFormat="false" ht="15" hidden="false" customHeight="false" outlineLevel="0" collapsed="false">
      <c r="A64" s="2" t="s">
        <v>89</v>
      </c>
      <c r="B64" s="2" t="s">
        <v>79</v>
      </c>
      <c r="C64" s="2" t="s">
        <v>188</v>
      </c>
      <c r="D64" s="2" t="n">
        <v>1</v>
      </c>
      <c r="E64" s="3" t="n">
        <v>-73.807778</v>
      </c>
      <c r="F64" s="3" t="n">
        <v>9.353944</v>
      </c>
      <c r="G64" s="2" t="n">
        <v>50</v>
      </c>
      <c r="H64" s="2" t="n">
        <v>70</v>
      </c>
    </row>
    <row r="65" customFormat="false" ht="15" hidden="false" customHeight="false" outlineLevel="0" collapsed="false">
      <c r="A65" s="2" t="s">
        <v>90</v>
      </c>
      <c r="B65" s="2" t="s">
        <v>79</v>
      </c>
      <c r="C65" s="2" t="s">
        <v>188</v>
      </c>
      <c r="D65" s="2" t="n">
        <v>2</v>
      </c>
      <c r="E65" s="3" t="n">
        <v>-73.807778</v>
      </c>
      <c r="F65" s="3" t="n">
        <v>9.353944</v>
      </c>
      <c r="G65" s="2" t="n">
        <v>50</v>
      </c>
      <c r="H65" s="2" t="n">
        <v>70</v>
      </c>
    </row>
    <row r="66" customFormat="false" ht="15" hidden="false" customHeight="false" outlineLevel="0" collapsed="false">
      <c r="A66" s="2" t="s">
        <v>91</v>
      </c>
      <c r="B66" s="2" t="s">
        <v>79</v>
      </c>
      <c r="C66" s="2" t="s">
        <v>188</v>
      </c>
      <c r="D66" s="2" t="n">
        <v>3</v>
      </c>
      <c r="E66" s="3" t="n">
        <v>-73.807778</v>
      </c>
      <c r="F66" s="3" t="n">
        <v>9.353944</v>
      </c>
      <c r="G66" s="2" t="n">
        <v>50</v>
      </c>
      <c r="H66" s="2" t="n">
        <v>70</v>
      </c>
    </row>
    <row r="67" customFormat="false" ht="15" hidden="false" customHeight="false" outlineLevel="0" collapsed="false">
      <c r="A67" s="2" t="s">
        <v>92</v>
      </c>
      <c r="B67" s="2" t="s">
        <v>79</v>
      </c>
      <c r="C67" s="2" t="s">
        <v>188</v>
      </c>
      <c r="D67" s="2" t="n">
        <v>4</v>
      </c>
      <c r="E67" s="3" t="n">
        <v>-73.807778</v>
      </c>
      <c r="F67" s="3" t="n">
        <v>9.353944</v>
      </c>
      <c r="G67" s="2" t="n">
        <v>50</v>
      </c>
      <c r="H67" s="2" t="n">
        <v>70</v>
      </c>
    </row>
    <row r="68" customFormat="false" ht="15" hidden="false" customHeight="false" outlineLevel="0" collapsed="false">
      <c r="A68" s="2" t="s">
        <v>93</v>
      </c>
      <c r="B68" s="2" t="s">
        <v>79</v>
      </c>
      <c r="C68" s="2" t="s">
        <v>188</v>
      </c>
      <c r="D68" s="2" t="n">
        <v>5</v>
      </c>
      <c r="E68" s="3" t="n">
        <v>-73.807778</v>
      </c>
      <c r="F68" s="3" t="n">
        <v>9.353944</v>
      </c>
      <c r="G68" s="2" t="n">
        <v>50</v>
      </c>
      <c r="H68" s="2" t="n">
        <v>70</v>
      </c>
    </row>
    <row r="69" customFormat="false" ht="15" hidden="false" customHeight="false" outlineLevel="0" collapsed="false">
      <c r="A69" s="2" t="s">
        <v>94</v>
      </c>
      <c r="B69" s="2" t="s">
        <v>79</v>
      </c>
      <c r="C69" s="2" t="s">
        <v>188</v>
      </c>
      <c r="D69" s="2" t="n">
        <v>6</v>
      </c>
      <c r="E69" s="3" t="n">
        <v>-73.807778</v>
      </c>
      <c r="F69" s="3" t="n">
        <v>9.353944</v>
      </c>
      <c r="G69" s="2" t="n">
        <v>50</v>
      </c>
      <c r="H69" s="2" t="n">
        <v>70</v>
      </c>
    </row>
    <row r="70" customFormat="false" ht="15" hidden="false" customHeight="false" outlineLevel="0" collapsed="false">
      <c r="A70" s="2" t="s">
        <v>95</v>
      </c>
      <c r="B70" s="2" t="s">
        <v>79</v>
      </c>
      <c r="C70" s="2" t="s">
        <v>188</v>
      </c>
      <c r="D70" s="2" t="n">
        <v>7</v>
      </c>
      <c r="E70" s="3" t="n">
        <v>-73.807778</v>
      </c>
      <c r="F70" s="3" t="n">
        <v>9.353944</v>
      </c>
      <c r="G70" s="2" t="n">
        <v>50</v>
      </c>
      <c r="H70" s="2" t="n">
        <v>70</v>
      </c>
    </row>
    <row r="71" customFormat="false" ht="15" hidden="false" customHeight="false" outlineLevel="0" collapsed="false">
      <c r="A71" s="2" t="s">
        <v>96</v>
      </c>
      <c r="B71" s="2" t="s">
        <v>79</v>
      </c>
      <c r="C71" s="2" t="s">
        <v>188</v>
      </c>
      <c r="D71" s="2" t="n">
        <v>8</v>
      </c>
      <c r="E71" s="3" t="n">
        <v>-73.807778</v>
      </c>
      <c r="F71" s="3" t="n">
        <v>9.353944</v>
      </c>
      <c r="G71" s="2" t="n">
        <v>50</v>
      </c>
      <c r="H71" s="2" t="n">
        <v>70</v>
      </c>
    </row>
    <row r="72" customFormat="false" ht="15" hidden="false" customHeight="false" outlineLevel="0" collapsed="false">
      <c r="A72" s="2" t="s">
        <v>97</v>
      </c>
      <c r="B72" s="2" t="s">
        <v>79</v>
      </c>
      <c r="C72" s="2" t="s">
        <v>188</v>
      </c>
      <c r="D72" s="2" t="n">
        <v>9</v>
      </c>
      <c r="E72" s="3" t="n">
        <v>-73.807778</v>
      </c>
      <c r="F72" s="3" t="n">
        <v>9.353944</v>
      </c>
      <c r="G72" s="2" t="n">
        <v>50</v>
      </c>
      <c r="H72" s="2" t="n">
        <v>70</v>
      </c>
    </row>
    <row r="73" customFormat="false" ht="15" hidden="false" customHeight="false" outlineLevel="0" collapsed="false">
      <c r="A73" s="2" t="s">
        <v>98</v>
      </c>
      <c r="B73" s="2" t="s">
        <v>79</v>
      </c>
      <c r="C73" s="2" t="s">
        <v>188</v>
      </c>
      <c r="D73" s="2" t="n">
        <v>10</v>
      </c>
      <c r="E73" s="3" t="n">
        <v>-73.807778</v>
      </c>
      <c r="F73" s="3" t="n">
        <v>9.353944</v>
      </c>
      <c r="G73" s="2" t="n">
        <v>50</v>
      </c>
      <c r="H73" s="2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20" min="11" style="0" width="13"/>
  </cols>
  <sheetData>
    <row r="1" customFormat="false" ht="45" hidden="false" customHeight="true" outlineLevel="0" collapsed="false">
      <c r="A1" s="1" t="s">
        <v>0</v>
      </c>
      <c r="B1" s="1" t="s">
        <v>189</v>
      </c>
      <c r="C1" s="1" t="s">
        <v>181</v>
      </c>
      <c r="D1" s="1" t="s">
        <v>182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187</v>
      </c>
      <c r="D2" s="2" t="n">
        <v>1</v>
      </c>
      <c r="E2" s="2" t="s">
        <v>206</v>
      </c>
      <c r="F2" s="4" t="n">
        <v>34.15</v>
      </c>
      <c r="G2" s="4" t="n">
        <v>7820.12</v>
      </c>
      <c r="H2" s="4" t="n">
        <v>3.77</v>
      </c>
      <c r="I2" s="4" t="n">
        <v>75.95</v>
      </c>
      <c r="J2" s="2" t="s">
        <v>207</v>
      </c>
      <c r="K2" s="2" t="n">
        <v>53.65</v>
      </c>
      <c r="L2" s="4" t="n">
        <v>8.59</v>
      </c>
      <c r="M2" s="2" t="n">
        <v>25.81</v>
      </c>
      <c r="N2" s="2" t="n">
        <v>0.07</v>
      </c>
      <c r="O2" s="2" t="n">
        <v>0.03</v>
      </c>
      <c r="P2" s="2" t="n">
        <v>29.2</v>
      </c>
      <c r="Q2" s="2" t="n">
        <v>82.75</v>
      </c>
      <c r="R2" s="2" t="n">
        <v>36.25</v>
      </c>
      <c r="S2" s="2" t="n">
        <v>1.1</v>
      </c>
      <c r="T2" s="5" t="n">
        <v>2474.52</v>
      </c>
    </row>
    <row r="3" customFormat="false" ht="15" hidden="false" customHeight="false" outlineLevel="0" collapsed="false">
      <c r="A3" s="2" t="s">
        <v>25</v>
      </c>
      <c r="B3" s="2" t="s">
        <v>24</v>
      </c>
      <c r="C3" s="2" t="s">
        <v>187</v>
      </c>
      <c r="D3" s="2" t="n">
        <v>2</v>
      </c>
      <c r="E3" s="2" t="s">
        <v>206</v>
      </c>
      <c r="F3" s="4" t="n">
        <v>34.15</v>
      </c>
      <c r="G3" s="4" t="n">
        <v>7820.12</v>
      </c>
      <c r="H3" s="4" t="n">
        <v>3.77</v>
      </c>
      <c r="I3" s="4" t="n">
        <v>75.95</v>
      </c>
      <c r="J3" s="2" t="s">
        <v>207</v>
      </c>
      <c r="K3" s="2" t="n">
        <v>53.65</v>
      </c>
      <c r="L3" s="4" t="n">
        <v>8.59</v>
      </c>
      <c r="M3" s="2" t="n">
        <v>25.81</v>
      </c>
      <c r="N3" s="2" t="n">
        <v>0.07</v>
      </c>
      <c r="O3" s="2" t="n">
        <v>0.03</v>
      </c>
      <c r="P3" s="2" t="n">
        <v>29.2</v>
      </c>
      <c r="Q3" s="2" t="n">
        <v>82.75</v>
      </c>
      <c r="R3" s="2" t="n">
        <v>36.25</v>
      </c>
      <c r="S3" s="2" t="n">
        <v>1.1</v>
      </c>
      <c r="T3" s="5" t="n">
        <v>2474.52</v>
      </c>
    </row>
    <row r="4" customFormat="false" ht="15" hidden="false" customHeight="false" outlineLevel="0" collapsed="false">
      <c r="A4" s="2" t="s">
        <v>26</v>
      </c>
      <c r="B4" s="2" t="s">
        <v>24</v>
      </c>
      <c r="C4" s="2" t="s">
        <v>187</v>
      </c>
      <c r="D4" s="2" t="n">
        <v>3</v>
      </c>
      <c r="E4" s="2" t="s">
        <v>206</v>
      </c>
      <c r="F4" s="4" t="n">
        <v>34.15</v>
      </c>
      <c r="G4" s="4" t="n">
        <v>7820.12</v>
      </c>
      <c r="H4" s="4" t="n">
        <v>3.77</v>
      </c>
      <c r="I4" s="4" t="n">
        <v>75.95</v>
      </c>
      <c r="J4" s="2" t="s">
        <v>207</v>
      </c>
      <c r="K4" s="2" t="n">
        <v>53.65</v>
      </c>
      <c r="L4" s="4" t="n">
        <v>8.59</v>
      </c>
      <c r="M4" s="2" t="n">
        <v>25.81</v>
      </c>
      <c r="N4" s="2" t="n">
        <v>0.07</v>
      </c>
      <c r="O4" s="2" t="n">
        <v>0.03</v>
      </c>
      <c r="P4" s="2" t="n">
        <v>29.2</v>
      </c>
      <c r="Q4" s="2" t="n">
        <v>82.75</v>
      </c>
      <c r="R4" s="2" t="n">
        <v>36.25</v>
      </c>
      <c r="S4" s="2" t="n">
        <v>1.1</v>
      </c>
      <c r="T4" s="5" t="n">
        <v>2474.52</v>
      </c>
    </row>
    <row r="5" customFormat="false" ht="15" hidden="false" customHeight="false" outlineLevel="0" collapsed="false">
      <c r="A5" s="2" t="s">
        <v>27</v>
      </c>
      <c r="B5" s="2" t="s">
        <v>24</v>
      </c>
      <c r="C5" s="2" t="s">
        <v>187</v>
      </c>
      <c r="D5" s="2" t="n">
        <v>4</v>
      </c>
      <c r="E5" s="2" t="s">
        <v>206</v>
      </c>
      <c r="F5" s="4" t="n">
        <v>34.15</v>
      </c>
      <c r="G5" s="4" t="n">
        <v>7820.12</v>
      </c>
      <c r="H5" s="4" t="n">
        <v>3.77</v>
      </c>
      <c r="I5" s="4" t="n">
        <v>75.95</v>
      </c>
      <c r="J5" s="2" t="s">
        <v>207</v>
      </c>
      <c r="K5" s="2" t="n">
        <v>53.65</v>
      </c>
      <c r="L5" s="4" t="n">
        <v>8.59</v>
      </c>
      <c r="M5" s="2" t="n">
        <v>25.81</v>
      </c>
      <c r="N5" s="2" t="n">
        <v>0.07</v>
      </c>
      <c r="O5" s="2" t="n">
        <v>0.03</v>
      </c>
      <c r="P5" s="2" t="n">
        <v>29.2</v>
      </c>
      <c r="Q5" s="2" t="n">
        <v>82.75</v>
      </c>
      <c r="R5" s="2" t="n">
        <v>36.25</v>
      </c>
      <c r="S5" s="2" t="n">
        <v>1.1</v>
      </c>
      <c r="T5" s="5" t="n">
        <v>2474.52</v>
      </c>
    </row>
    <row r="6" customFormat="false" ht="15" hidden="false" customHeight="false" outlineLevel="0" collapsed="false">
      <c r="A6" s="2" t="s">
        <v>28</v>
      </c>
      <c r="B6" s="2" t="s">
        <v>24</v>
      </c>
      <c r="C6" s="2" t="s">
        <v>187</v>
      </c>
      <c r="D6" s="2" t="n">
        <v>5</v>
      </c>
      <c r="E6" s="2" t="s">
        <v>206</v>
      </c>
      <c r="F6" s="4" t="n">
        <v>34.15</v>
      </c>
      <c r="G6" s="4" t="n">
        <v>7820.12</v>
      </c>
      <c r="H6" s="4" t="n">
        <v>3.77</v>
      </c>
      <c r="I6" s="4" t="n">
        <v>75.95</v>
      </c>
      <c r="J6" s="2" t="s">
        <v>207</v>
      </c>
      <c r="K6" s="2" t="n">
        <v>53.65</v>
      </c>
      <c r="L6" s="4" t="n">
        <v>8.59</v>
      </c>
      <c r="M6" s="2" t="n">
        <v>25.81</v>
      </c>
      <c r="N6" s="2" t="n">
        <v>0.07</v>
      </c>
      <c r="O6" s="2" t="n">
        <v>0.03</v>
      </c>
      <c r="P6" s="2" t="n">
        <v>29.2</v>
      </c>
      <c r="Q6" s="2" t="n">
        <v>82.75</v>
      </c>
      <c r="R6" s="2" t="n">
        <v>36.25</v>
      </c>
      <c r="S6" s="2" t="n">
        <v>1.1</v>
      </c>
      <c r="T6" s="5" t="n">
        <v>2474.52</v>
      </c>
    </row>
    <row r="7" customFormat="false" ht="15" hidden="false" customHeight="false" outlineLevel="0" collapsed="false">
      <c r="A7" s="2" t="s">
        <v>29</v>
      </c>
      <c r="B7" s="2" t="s">
        <v>24</v>
      </c>
      <c r="C7" s="2" t="s">
        <v>187</v>
      </c>
      <c r="D7" s="2" t="n">
        <v>6</v>
      </c>
      <c r="E7" s="2" t="s">
        <v>208</v>
      </c>
      <c r="F7" s="4" t="n">
        <v>34.15</v>
      </c>
      <c r="G7" s="4" t="n">
        <v>7820.12</v>
      </c>
      <c r="H7" s="4" t="n">
        <v>3.77</v>
      </c>
      <c r="I7" s="4" t="n">
        <v>75.95</v>
      </c>
      <c r="J7" s="2" t="s">
        <v>207</v>
      </c>
      <c r="K7" s="2" t="n">
        <v>53.65</v>
      </c>
      <c r="L7" s="4" t="n">
        <v>8.59</v>
      </c>
      <c r="M7" s="2" t="n">
        <v>25.81</v>
      </c>
      <c r="N7" s="2" t="n">
        <v>0.07</v>
      </c>
      <c r="O7" s="2" t="n">
        <v>0.03</v>
      </c>
      <c r="P7" s="2" t="n">
        <v>29.2</v>
      </c>
      <c r="Q7" s="2" t="n">
        <v>82.75</v>
      </c>
      <c r="R7" s="2" t="n">
        <v>36.25</v>
      </c>
      <c r="S7" s="2" t="n">
        <v>1.1</v>
      </c>
      <c r="T7" s="5" t="n">
        <v>2474.52</v>
      </c>
    </row>
    <row r="8" customFormat="false" ht="15" hidden="false" customHeight="false" outlineLevel="0" collapsed="false">
      <c r="A8" s="2" t="s">
        <v>30</v>
      </c>
      <c r="B8" s="2" t="s">
        <v>24</v>
      </c>
      <c r="C8" s="2" t="s">
        <v>187</v>
      </c>
      <c r="D8" s="2" t="n">
        <v>7</v>
      </c>
      <c r="E8" s="2" t="s">
        <v>208</v>
      </c>
      <c r="F8" s="4" t="n">
        <v>34.15</v>
      </c>
      <c r="G8" s="4" t="n">
        <v>7820.12</v>
      </c>
      <c r="H8" s="4" t="n">
        <v>3.77</v>
      </c>
      <c r="I8" s="4" t="n">
        <v>75.95</v>
      </c>
      <c r="J8" s="2" t="s">
        <v>207</v>
      </c>
      <c r="K8" s="2" t="n">
        <v>53.65</v>
      </c>
      <c r="L8" s="4" t="n">
        <v>8.59</v>
      </c>
      <c r="M8" s="2" t="n">
        <v>25.81</v>
      </c>
      <c r="N8" s="2" t="n">
        <v>0.07</v>
      </c>
      <c r="O8" s="2" t="n">
        <v>0.03</v>
      </c>
      <c r="P8" s="2" t="n">
        <v>29.2</v>
      </c>
      <c r="Q8" s="2" t="n">
        <v>82.75</v>
      </c>
      <c r="R8" s="2" t="n">
        <v>36.25</v>
      </c>
      <c r="S8" s="2" t="n">
        <v>1.1</v>
      </c>
      <c r="T8" s="5" t="n">
        <v>2474.52</v>
      </c>
    </row>
    <row r="9" customFormat="false" ht="15" hidden="false" customHeight="false" outlineLevel="0" collapsed="false">
      <c r="A9" s="2" t="s">
        <v>31</v>
      </c>
      <c r="B9" s="2" t="s">
        <v>24</v>
      </c>
      <c r="C9" s="2" t="s">
        <v>187</v>
      </c>
      <c r="D9" s="2" t="n">
        <v>8</v>
      </c>
      <c r="E9" s="2" t="s">
        <v>208</v>
      </c>
      <c r="F9" s="4" t="n">
        <v>34.15</v>
      </c>
      <c r="G9" s="4" t="n">
        <v>7820.12</v>
      </c>
      <c r="H9" s="4" t="n">
        <v>3.77</v>
      </c>
      <c r="I9" s="4" t="n">
        <v>75.95</v>
      </c>
      <c r="J9" s="2" t="s">
        <v>207</v>
      </c>
      <c r="K9" s="2" t="n">
        <v>53.65</v>
      </c>
      <c r="L9" s="4" t="n">
        <v>8.59</v>
      </c>
      <c r="M9" s="2" t="n">
        <v>25.81</v>
      </c>
      <c r="N9" s="2" t="n">
        <v>0.07</v>
      </c>
      <c r="O9" s="2" t="n">
        <v>0.03</v>
      </c>
      <c r="P9" s="2" t="n">
        <v>29.2</v>
      </c>
      <c r="Q9" s="2" t="n">
        <v>82.75</v>
      </c>
      <c r="R9" s="2" t="n">
        <v>36.25</v>
      </c>
      <c r="S9" s="2" t="n">
        <v>1.1</v>
      </c>
      <c r="T9" s="5" t="n">
        <v>2474.52</v>
      </c>
    </row>
    <row r="10" customFormat="false" ht="15" hidden="false" customHeight="false" outlineLevel="0" collapsed="false">
      <c r="A10" s="2" t="s">
        <v>32</v>
      </c>
      <c r="B10" s="2" t="s">
        <v>24</v>
      </c>
      <c r="C10" s="2" t="s">
        <v>187</v>
      </c>
      <c r="D10" s="2" t="n">
        <v>9</v>
      </c>
      <c r="E10" s="2" t="s">
        <v>208</v>
      </c>
      <c r="F10" s="4" t="n">
        <v>34.15</v>
      </c>
      <c r="G10" s="4" t="n">
        <v>7820.12</v>
      </c>
      <c r="H10" s="4" t="n">
        <v>3.77</v>
      </c>
      <c r="I10" s="4" t="n">
        <v>75.95</v>
      </c>
      <c r="J10" s="2" t="s">
        <v>207</v>
      </c>
      <c r="K10" s="2" t="n">
        <v>53.65</v>
      </c>
      <c r="L10" s="4" t="n">
        <v>8.59</v>
      </c>
      <c r="M10" s="2" t="n">
        <v>25.81</v>
      </c>
      <c r="N10" s="2" t="n">
        <v>0.07</v>
      </c>
      <c r="O10" s="2" t="n">
        <v>0.03</v>
      </c>
      <c r="P10" s="2" t="n">
        <v>29.2</v>
      </c>
      <c r="Q10" s="2" t="n">
        <v>82.75</v>
      </c>
      <c r="R10" s="2" t="n">
        <v>36.25</v>
      </c>
      <c r="S10" s="2" t="n">
        <v>1.1</v>
      </c>
      <c r="T10" s="5" t="n">
        <v>2474.52</v>
      </c>
    </row>
    <row r="11" customFormat="false" ht="15" hidden="false" customHeight="false" outlineLevel="0" collapsed="false">
      <c r="A11" s="2" t="s">
        <v>33</v>
      </c>
      <c r="B11" s="2" t="s">
        <v>24</v>
      </c>
      <c r="C11" s="2" t="s">
        <v>187</v>
      </c>
      <c r="D11" s="2" t="n">
        <v>10</v>
      </c>
      <c r="E11" s="2" t="s">
        <v>208</v>
      </c>
      <c r="F11" s="4" t="n">
        <v>34.15</v>
      </c>
      <c r="G11" s="4" t="n">
        <v>7820.12</v>
      </c>
      <c r="H11" s="4" t="n">
        <v>3.77</v>
      </c>
      <c r="I11" s="4" t="n">
        <v>75.95</v>
      </c>
      <c r="J11" s="2" t="s">
        <v>207</v>
      </c>
      <c r="K11" s="2" t="n">
        <v>53.65</v>
      </c>
      <c r="L11" s="4" t="n">
        <v>8.59</v>
      </c>
      <c r="M11" s="2" t="n">
        <v>25.81</v>
      </c>
      <c r="N11" s="2" t="n">
        <v>0.07</v>
      </c>
      <c r="O11" s="2" t="n">
        <v>0.03</v>
      </c>
      <c r="P11" s="2" t="n">
        <v>29.2</v>
      </c>
      <c r="Q11" s="2" t="n">
        <v>82.75</v>
      </c>
      <c r="R11" s="2" t="n">
        <v>36.25</v>
      </c>
      <c r="S11" s="2" t="n">
        <v>1.1</v>
      </c>
      <c r="T11" s="5" t="n">
        <v>2474.52</v>
      </c>
    </row>
    <row r="12" customFormat="false" ht="15" hidden="false" customHeight="false" outlineLevel="0" collapsed="false">
      <c r="A12" s="2" t="s">
        <v>34</v>
      </c>
      <c r="B12" s="2" t="s">
        <v>24</v>
      </c>
      <c r="C12" s="2" t="s">
        <v>188</v>
      </c>
      <c r="D12" s="2" t="n">
        <v>1</v>
      </c>
      <c r="E12" s="2" t="s">
        <v>206</v>
      </c>
      <c r="F12" s="4" t="n">
        <v>34.15</v>
      </c>
      <c r="G12" s="4" t="n">
        <v>7820.12</v>
      </c>
      <c r="H12" s="4" t="n">
        <v>3.77</v>
      </c>
      <c r="I12" s="4" t="n">
        <v>47.38</v>
      </c>
      <c r="J12" s="2" t="s">
        <v>207</v>
      </c>
      <c r="K12" s="2" t="n">
        <v>12.02</v>
      </c>
      <c r="L12" s="4" t="n">
        <v>7.47</v>
      </c>
      <c r="M12" s="2" t="n">
        <v>28.1</v>
      </c>
      <c r="N12" s="2" t="n">
        <v>0.16</v>
      </c>
      <c r="O12" s="2" t="n">
        <v>0.08</v>
      </c>
      <c r="P12" s="2" t="n">
        <v>31.19</v>
      </c>
      <c r="Q12" s="2" t="n">
        <v>64.25</v>
      </c>
      <c r="R12" s="2" t="n">
        <v>88.25</v>
      </c>
      <c r="S12" s="2" t="n">
        <v>4</v>
      </c>
      <c r="T12" s="5" t="n">
        <v>6595.18</v>
      </c>
    </row>
    <row r="13" customFormat="false" ht="15" hidden="false" customHeight="false" outlineLevel="0" collapsed="false">
      <c r="A13" s="2" t="s">
        <v>35</v>
      </c>
      <c r="B13" s="2" t="s">
        <v>24</v>
      </c>
      <c r="C13" s="2" t="s">
        <v>188</v>
      </c>
      <c r="D13" s="2" t="n">
        <v>2</v>
      </c>
      <c r="E13" s="2" t="s">
        <v>206</v>
      </c>
      <c r="F13" s="4" t="n">
        <v>34.15</v>
      </c>
      <c r="G13" s="4" t="n">
        <v>7820.12</v>
      </c>
      <c r="H13" s="4" t="n">
        <v>3.77</v>
      </c>
      <c r="I13" s="4" t="n">
        <v>47.38</v>
      </c>
      <c r="J13" s="2" t="s">
        <v>207</v>
      </c>
      <c r="K13" s="2" t="n">
        <v>12.02</v>
      </c>
      <c r="L13" s="4" t="n">
        <v>7.47</v>
      </c>
      <c r="M13" s="2" t="n">
        <v>28.1</v>
      </c>
      <c r="N13" s="2" t="n">
        <v>0.16</v>
      </c>
      <c r="O13" s="2" t="n">
        <v>0.08</v>
      </c>
      <c r="P13" s="2" t="n">
        <v>31.19</v>
      </c>
      <c r="Q13" s="2" t="n">
        <v>64.25</v>
      </c>
      <c r="R13" s="2" t="n">
        <v>88.25</v>
      </c>
      <c r="S13" s="2" t="n">
        <v>4</v>
      </c>
      <c r="T13" s="5" t="n">
        <v>6595.18</v>
      </c>
    </row>
    <row r="14" customFormat="false" ht="15" hidden="false" customHeight="false" outlineLevel="0" collapsed="false">
      <c r="A14" s="2" t="s">
        <v>36</v>
      </c>
      <c r="B14" s="2" t="s">
        <v>24</v>
      </c>
      <c r="C14" s="2" t="s">
        <v>188</v>
      </c>
      <c r="D14" s="2" t="n">
        <v>3</v>
      </c>
      <c r="E14" s="2" t="s">
        <v>206</v>
      </c>
      <c r="F14" s="4" t="n">
        <v>34.15</v>
      </c>
      <c r="G14" s="4" t="n">
        <v>7820.12</v>
      </c>
      <c r="H14" s="4" t="n">
        <v>3.77</v>
      </c>
      <c r="I14" s="4" t="n">
        <v>47.38</v>
      </c>
      <c r="J14" s="2" t="s">
        <v>207</v>
      </c>
      <c r="K14" s="2" t="n">
        <v>12.02</v>
      </c>
      <c r="L14" s="4" t="n">
        <v>7.47</v>
      </c>
      <c r="M14" s="2" t="n">
        <v>28.1</v>
      </c>
      <c r="N14" s="2" t="n">
        <v>0.16</v>
      </c>
      <c r="O14" s="2" t="n">
        <v>0.08</v>
      </c>
      <c r="P14" s="2" t="n">
        <v>31.19</v>
      </c>
      <c r="Q14" s="2" t="n">
        <v>64.25</v>
      </c>
      <c r="R14" s="2" t="n">
        <v>88.25</v>
      </c>
      <c r="S14" s="2" t="n">
        <v>4</v>
      </c>
      <c r="T14" s="5" t="n">
        <v>6595.18</v>
      </c>
    </row>
    <row r="15" customFormat="false" ht="15" hidden="false" customHeight="false" outlineLevel="0" collapsed="false">
      <c r="A15" s="2" t="s">
        <v>37</v>
      </c>
      <c r="B15" s="2" t="s">
        <v>24</v>
      </c>
      <c r="C15" s="2" t="s">
        <v>188</v>
      </c>
      <c r="D15" s="2" t="n">
        <v>4</v>
      </c>
      <c r="E15" s="2" t="s">
        <v>206</v>
      </c>
      <c r="F15" s="4" t="n">
        <v>34.15</v>
      </c>
      <c r="G15" s="4" t="n">
        <v>7820.12</v>
      </c>
      <c r="H15" s="4" t="n">
        <v>3.77</v>
      </c>
      <c r="I15" s="4" t="n">
        <v>47.38</v>
      </c>
      <c r="J15" s="2" t="s">
        <v>207</v>
      </c>
      <c r="K15" s="2" t="n">
        <v>12.02</v>
      </c>
      <c r="L15" s="4" t="n">
        <v>7.47</v>
      </c>
      <c r="M15" s="2" t="n">
        <v>28.1</v>
      </c>
      <c r="N15" s="2" t="n">
        <v>0.16</v>
      </c>
      <c r="O15" s="2" t="n">
        <v>0.08</v>
      </c>
      <c r="P15" s="2" t="n">
        <v>31.19</v>
      </c>
      <c r="Q15" s="2" t="n">
        <v>64.25</v>
      </c>
      <c r="R15" s="2" t="n">
        <v>88.25</v>
      </c>
      <c r="S15" s="2" t="n">
        <v>4</v>
      </c>
      <c r="T15" s="5" t="n">
        <v>6595.18</v>
      </c>
    </row>
    <row r="16" customFormat="false" ht="15" hidden="false" customHeight="false" outlineLevel="0" collapsed="false">
      <c r="A16" s="2" t="s">
        <v>38</v>
      </c>
      <c r="B16" s="2" t="s">
        <v>24</v>
      </c>
      <c r="C16" s="2" t="s">
        <v>188</v>
      </c>
      <c r="D16" s="2" t="n">
        <v>5</v>
      </c>
      <c r="E16" s="2" t="s">
        <v>206</v>
      </c>
      <c r="F16" s="4" t="n">
        <v>34.15</v>
      </c>
      <c r="G16" s="4" t="n">
        <v>7820.12</v>
      </c>
      <c r="H16" s="4" t="n">
        <v>3.77</v>
      </c>
      <c r="I16" s="4" t="n">
        <v>47.38</v>
      </c>
      <c r="J16" s="2" t="s">
        <v>207</v>
      </c>
      <c r="K16" s="2" t="n">
        <v>12.02</v>
      </c>
      <c r="L16" s="4" t="n">
        <v>7.47</v>
      </c>
      <c r="M16" s="2" t="n">
        <v>28.1</v>
      </c>
      <c r="N16" s="2" t="n">
        <v>0.16</v>
      </c>
      <c r="O16" s="2" t="n">
        <v>0.08</v>
      </c>
      <c r="P16" s="2" t="n">
        <v>31.19</v>
      </c>
      <c r="Q16" s="2" t="n">
        <v>64.25</v>
      </c>
      <c r="R16" s="2" t="n">
        <v>88.25</v>
      </c>
      <c r="S16" s="2" t="n">
        <v>4</v>
      </c>
      <c r="T16" s="5" t="n">
        <v>6595.18</v>
      </c>
    </row>
    <row r="17" customFormat="false" ht="15" hidden="false" customHeight="false" outlineLevel="0" collapsed="false">
      <c r="A17" s="2" t="s">
        <v>39</v>
      </c>
      <c r="B17" s="2" t="s">
        <v>24</v>
      </c>
      <c r="C17" s="2" t="s">
        <v>188</v>
      </c>
      <c r="D17" s="2" t="n">
        <v>6</v>
      </c>
      <c r="E17" s="2" t="s">
        <v>208</v>
      </c>
      <c r="F17" s="4" t="n">
        <v>34.15</v>
      </c>
      <c r="G17" s="4" t="n">
        <v>7820.12</v>
      </c>
      <c r="H17" s="4" t="n">
        <v>3.77</v>
      </c>
      <c r="I17" s="4" t="n">
        <v>47.38</v>
      </c>
      <c r="J17" s="2" t="s">
        <v>207</v>
      </c>
      <c r="K17" s="2" t="n">
        <v>12.02</v>
      </c>
      <c r="L17" s="4" t="n">
        <v>7.47</v>
      </c>
      <c r="M17" s="2" t="n">
        <v>28.1</v>
      </c>
      <c r="N17" s="2" t="n">
        <v>0.16</v>
      </c>
      <c r="O17" s="2" t="n">
        <v>0.08</v>
      </c>
      <c r="P17" s="2" t="n">
        <v>31.19</v>
      </c>
      <c r="Q17" s="2" t="n">
        <v>64.25</v>
      </c>
      <c r="R17" s="2" t="n">
        <v>88.25</v>
      </c>
      <c r="S17" s="2" t="n">
        <v>4</v>
      </c>
      <c r="T17" s="5" t="n">
        <v>6595.18</v>
      </c>
    </row>
    <row r="18" customFormat="false" ht="15" hidden="false" customHeight="false" outlineLevel="0" collapsed="false">
      <c r="A18" s="2" t="s">
        <v>40</v>
      </c>
      <c r="B18" s="2" t="s">
        <v>24</v>
      </c>
      <c r="C18" s="2" t="s">
        <v>188</v>
      </c>
      <c r="D18" s="2" t="n">
        <v>7</v>
      </c>
      <c r="E18" s="2" t="s">
        <v>208</v>
      </c>
      <c r="F18" s="4" t="n">
        <v>34.15</v>
      </c>
      <c r="G18" s="4" t="n">
        <v>7820.12</v>
      </c>
      <c r="H18" s="4" t="n">
        <v>3.77</v>
      </c>
      <c r="I18" s="4" t="n">
        <v>47.38</v>
      </c>
      <c r="J18" s="2" t="s">
        <v>207</v>
      </c>
      <c r="K18" s="2" t="n">
        <v>12.02</v>
      </c>
      <c r="L18" s="4" t="n">
        <v>7.47</v>
      </c>
      <c r="M18" s="2" t="n">
        <v>28.1</v>
      </c>
      <c r="N18" s="2" t="n">
        <v>0.16</v>
      </c>
      <c r="O18" s="2" t="n">
        <v>0.08</v>
      </c>
      <c r="P18" s="2" t="n">
        <v>31.19</v>
      </c>
      <c r="Q18" s="2" t="n">
        <v>64.25</v>
      </c>
      <c r="R18" s="2" t="n">
        <v>88.25</v>
      </c>
      <c r="S18" s="2" t="n">
        <v>4</v>
      </c>
      <c r="T18" s="5" t="n">
        <v>6595.18</v>
      </c>
    </row>
    <row r="19" customFormat="false" ht="15" hidden="false" customHeight="false" outlineLevel="0" collapsed="false">
      <c r="A19" s="2" t="s">
        <v>41</v>
      </c>
      <c r="B19" s="2" t="s">
        <v>24</v>
      </c>
      <c r="C19" s="2" t="s">
        <v>188</v>
      </c>
      <c r="D19" s="2" t="n">
        <v>8</v>
      </c>
      <c r="E19" s="2" t="s">
        <v>208</v>
      </c>
      <c r="F19" s="4" t="n">
        <v>34.15</v>
      </c>
      <c r="G19" s="4" t="n">
        <v>7820.12</v>
      </c>
      <c r="H19" s="4" t="n">
        <v>3.77</v>
      </c>
      <c r="I19" s="4" t="n">
        <v>47.38</v>
      </c>
      <c r="J19" s="2" t="s">
        <v>207</v>
      </c>
      <c r="K19" s="2" t="n">
        <v>12.02</v>
      </c>
      <c r="L19" s="4" t="n">
        <v>7.47</v>
      </c>
      <c r="M19" s="2" t="n">
        <v>28.1</v>
      </c>
      <c r="N19" s="2" t="n">
        <v>0.16</v>
      </c>
      <c r="O19" s="2" t="n">
        <v>0.08</v>
      </c>
      <c r="P19" s="2" t="n">
        <v>31.19</v>
      </c>
      <c r="Q19" s="2" t="n">
        <v>64.25</v>
      </c>
      <c r="R19" s="2" t="n">
        <v>88.25</v>
      </c>
      <c r="S19" s="2" t="n">
        <v>4</v>
      </c>
      <c r="T19" s="5" t="n">
        <v>6595.18</v>
      </c>
    </row>
    <row r="20" customFormat="false" ht="15" hidden="false" customHeight="false" outlineLevel="0" collapsed="false">
      <c r="A20" s="2" t="s">
        <v>42</v>
      </c>
      <c r="B20" s="2" t="s">
        <v>24</v>
      </c>
      <c r="C20" s="2" t="s">
        <v>188</v>
      </c>
      <c r="D20" s="2" t="n">
        <v>9</v>
      </c>
      <c r="E20" s="2" t="s">
        <v>208</v>
      </c>
      <c r="F20" s="4" t="n">
        <v>34.15</v>
      </c>
      <c r="G20" s="4" t="n">
        <v>7820.12</v>
      </c>
      <c r="H20" s="4" t="n">
        <v>3.77</v>
      </c>
      <c r="I20" s="4" t="n">
        <v>47.38</v>
      </c>
      <c r="J20" s="2" t="s">
        <v>207</v>
      </c>
      <c r="K20" s="2" t="n">
        <v>12.02</v>
      </c>
      <c r="L20" s="4" t="n">
        <v>7.47</v>
      </c>
      <c r="M20" s="2" t="n">
        <v>28.1</v>
      </c>
      <c r="N20" s="2" t="n">
        <v>0.16</v>
      </c>
      <c r="O20" s="2" t="n">
        <v>0.08</v>
      </c>
      <c r="P20" s="2" t="n">
        <v>31.19</v>
      </c>
      <c r="Q20" s="2" t="n">
        <v>64.25</v>
      </c>
      <c r="R20" s="2" t="n">
        <v>88.25</v>
      </c>
      <c r="S20" s="2" t="n">
        <v>4</v>
      </c>
      <c r="T20" s="5" t="n">
        <v>6595.18</v>
      </c>
    </row>
    <row r="21" customFormat="false" ht="15" hidden="false" customHeight="false" outlineLevel="0" collapsed="false">
      <c r="A21" s="2" t="s">
        <v>43</v>
      </c>
      <c r="B21" s="2" t="s">
        <v>24</v>
      </c>
      <c r="C21" s="2" t="s">
        <v>188</v>
      </c>
      <c r="D21" s="2" t="n">
        <v>10</v>
      </c>
      <c r="E21" s="2" t="s">
        <v>208</v>
      </c>
      <c r="F21" s="4" t="n">
        <v>34.15</v>
      </c>
      <c r="G21" s="4" t="n">
        <v>7820.12</v>
      </c>
      <c r="H21" s="4" t="n">
        <v>3.77</v>
      </c>
      <c r="I21" s="4" t="n">
        <v>47.38</v>
      </c>
      <c r="J21" s="2" t="s">
        <v>207</v>
      </c>
      <c r="K21" s="2" t="n">
        <v>12.02</v>
      </c>
      <c r="L21" s="4" t="n">
        <v>7.47</v>
      </c>
      <c r="M21" s="2" t="n">
        <v>28.1</v>
      </c>
      <c r="N21" s="2" t="n">
        <v>0.16</v>
      </c>
      <c r="O21" s="2" t="n">
        <v>0.08</v>
      </c>
      <c r="P21" s="2" t="n">
        <v>31.19</v>
      </c>
      <c r="Q21" s="2" t="n">
        <v>64.25</v>
      </c>
      <c r="R21" s="2" t="n">
        <v>88.25</v>
      </c>
      <c r="S21" s="2" t="n">
        <v>4</v>
      </c>
      <c r="T21" s="5" t="n">
        <v>6595.18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187</v>
      </c>
      <c r="D22" s="2" t="n">
        <v>1</v>
      </c>
      <c r="E22" s="2" t="s">
        <v>206</v>
      </c>
      <c r="F22" s="4" t="n">
        <v>2.34</v>
      </c>
      <c r="G22" s="4" t="n">
        <v>962.25</v>
      </c>
      <c r="H22" s="4" t="n">
        <v>1.77</v>
      </c>
      <c r="I22" s="4" t="n">
        <v>63.92</v>
      </c>
      <c r="J22" s="2" t="s">
        <v>207</v>
      </c>
      <c r="K22" s="2" t="n">
        <v>29.56</v>
      </c>
      <c r="L22" s="4" t="n">
        <v>8.23</v>
      </c>
      <c r="M22" s="2" t="n">
        <v>27.65</v>
      </c>
      <c r="N22" s="2" t="n">
        <v>0.03</v>
      </c>
      <c r="O22" s="2" t="n">
        <v>0.02</v>
      </c>
      <c r="P22" s="2" t="n">
        <v>31.54</v>
      </c>
      <c r="Q22" s="2" t="n">
        <v>78.62</v>
      </c>
      <c r="R22" s="2" t="n">
        <v>30.25</v>
      </c>
      <c r="S22" s="2" t="n">
        <v>0.8</v>
      </c>
      <c r="T22" s="5" t="n">
        <v>8708.17</v>
      </c>
    </row>
    <row r="23" customFormat="false" ht="15" hidden="false" customHeight="false" outlineLevel="0" collapsed="false">
      <c r="A23" s="2" t="s">
        <v>46</v>
      </c>
      <c r="B23" s="2" t="s">
        <v>45</v>
      </c>
      <c r="C23" s="2" t="s">
        <v>187</v>
      </c>
      <c r="D23" s="2" t="n">
        <v>2</v>
      </c>
      <c r="E23" s="2" t="s">
        <v>206</v>
      </c>
      <c r="F23" s="4" t="n">
        <v>2.34</v>
      </c>
      <c r="G23" s="4" t="n">
        <v>962.25</v>
      </c>
      <c r="H23" s="4" t="n">
        <v>1.77</v>
      </c>
      <c r="I23" s="4" t="n">
        <v>63.92</v>
      </c>
      <c r="J23" s="2" t="s">
        <v>207</v>
      </c>
      <c r="K23" s="2" t="n">
        <v>29.56</v>
      </c>
      <c r="L23" s="4" t="n">
        <v>8.23</v>
      </c>
      <c r="M23" s="2" t="n">
        <v>27.65</v>
      </c>
      <c r="N23" s="2" t="n">
        <v>0.03</v>
      </c>
      <c r="O23" s="2" t="n">
        <v>0.02</v>
      </c>
      <c r="P23" s="2" t="n">
        <v>31.54</v>
      </c>
      <c r="Q23" s="2" t="n">
        <v>78.62</v>
      </c>
      <c r="R23" s="2" t="n">
        <v>30.25</v>
      </c>
      <c r="S23" s="2" t="n">
        <v>0.8</v>
      </c>
      <c r="T23" s="5" t="n">
        <v>8708.17</v>
      </c>
    </row>
    <row r="24" customFormat="false" ht="15" hidden="false" customHeight="false" outlineLevel="0" collapsed="false">
      <c r="A24" s="2" t="s">
        <v>47</v>
      </c>
      <c r="B24" s="2" t="s">
        <v>45</v>
      </c>
      <c r="C24" s="2" t="s">
        <v>187</v>
      </c>
      <c r="D24" s="2" t="n">
        <v>3</v>
      </c>
      <c r="E24" s="2" t="s">
        <v>206</v>
      </c>
      <c r="F24" s="4" t="n">
        <v>2.34</v>
      </c>
      <c r="G24" s="4" t="n">
        <v>962.25</v>
      </c>
      <c r="H24" s="4" t="n">
        <v>1.77</v>
      </c>
      <c r="I24" s="4" t="n">
        <v>63.92</v>
      </c>
      <c r="J24" s="2" t="s">
        <v>207</v>
      </c>
      <c r="K24" s="2" t="n">
        <v>29.56</v>
      </c>
      <c r="L24" s="4" t="n">
        <v>8.23</v>
      </c>
      <c r="M24" s="2" t="n">
        <v>27.65</v>
      </c>
      <c r="N24" s="2" t="n">
        <v>0.03</v>
      </c>
      <c r="O24" s="2" t="n">
        <v>0.02</v>
      </c>
      <c r="P24" s="2" t="n">
        <v>31.54</v>
      </c>
      <c r="Q24" s="2" t="n">
        <v>78.62</v>
      </c>
      <c r="R24" s="2" t="n">
        <v>30.25</v>
      </c>
      <c r="S24" s="2" t="n">
        <v>0.8</v>
      </c>
      <c r="T24" s="5" t="n">
        <v>8708.17</v>
      </c>
    </row>
    <row r="25" customFormat="false" ht="15" hidden="false" customHeight="false" outlineLevel="0" collapsed="false">
      <c r="A25" s="2" t="s">
        <v>48</v>
      </c>
      <c r="B25" s="2" t="s">
        <v>45</v>
      </c>
      <c r="C25" s="2" t="s">
        <v>187</v>
      </c>
      <c r="D25" s="2" t="n">
        <v>4</v>
      </c>
      <c r="E25" s="2" t="s">
        <v>206</v>
      </c>
      <c r="F25" s="4" t="n">
        <v>2.34</v>
      </c>
      <c r="G25" s="4" t="n">
        <v>962.25</v>
      </c>
      <c r="H25" s="4" t="n">
        <v>1.77</v>
      </c>
      <c r="I25" s="4" t="n">
        <v>63.92</v>
      </c>
      <c r="J25" s="2" t="s">
        <v>207</v>
      </c>
      <c r="K25" s="2" t="n">
        <v>29.56</v>
      </c>
      <c r="L25" s="4" t="n">
        <v>8.23</v>
      </c>
      <c r="M25" s="2" t="n">
        <v>27.65</v>
      </c>
      <c r="N25" s="2" t="n">
        <v>0.03</v>
      </c>
      <c r="O25" s="2" t="n">
        <v>0.02</v>
      </c>
      <c r="P25" s="2" t="n">
        <v>31.54</v>
      </c>
      <c r="Q25" s="2" t="n">
        <v>78.62</v>
      </c>
      <c r="R25" s="2" t="n">
        <v>30.25</v>
      </c>
      <c r="S25" s="2" t="n">
        <v>0.8</v>
      </c>
      <c r="T25" s="5" t="n">
        <v>8708.17</v>
      </c>
    </row>
    <row r="26" customFormat="false" ht="15" hidden="false" customHeight="false" outlineLevel="0" collapsed="false">
      <c r="A26" s="2" t="s">
        <v>49</v>
      </c>
      <c r="B26" s="2" t="s">
        <v>45</v>
      </c>
      <c r="C26" s="2" t="s">
        <v>187</v>
      </c>
      <c r="D26" s="2" t="n">
        <v>5</v>
      </c>
      <c r="E26" s="2" t="s">
        <v>206</v>
      </c>
      <c r="F26" s="4" t="n">
        <v>2.34</v>
      </c>
      <c r="G26" s="4" t="n">
        <v>962.25</v>
      </c>
      <c r="H26" s="4" t="n">
        <v>1.77</v>
      </c>
      <c r="I26" s="4" t="n">
        <v>63.92</v>
      </c>
      <c r="J26" s="2" t="s">
        <v>207</v>
      </c>
      <c r="K26" s="2" t="n">
        <v>29.56</v>
      </c>
      <c r="L26" s="4" t="n">
        <v>8.23</v>
      </c>
      <c r="M26" s="2" t="n">
        <v>27.65</v>
      </c>
      <c r="N26" s="2" t="n">
        <v>0.03</v>
      </c>
      <c r="O26" s="2" t="n">
        <v>0.02</v>
      </c>
      <c r="P26" s="2" t="n">
        <v>31.54</v>
      </c>
      <c r="Q26" s="2" t="n">
        <v>78.62</v>
      </c>
      <c r="R26" s="2" t="n">
        <v>30.25</v>
      </c>
      <c r="S26" s="2" t="n">
        <v>0.8</v>
      </c>
      <c r="T26" s="5" t="n">
        <v>8708.17</v>
      </c>
    </row>
    <row r="27" customFormat="false" ht="15" hidden="false" customHeight="false" outlineLevel="0" collapsed="false">
      <c r="A27" s="2" t="s">
        <v>50</v>
      </c>
      <c r="B27" s="2" t="s">
        <v>45</v>
      </c>
      <c r="C27" s="2" t="s">
        <v>187</v>
      </c>
      <c r="D27" s="2" t="n">
        <v>6</v>
      </c>
      <c r="E27" s="2" t="s">
        <v>208</v>
      </c>
      <c r="F27" s="4" t="n">
        <v>2.34</v>
      </c>
      <c r="G27" s="4" t="n">
        <v>962.25</v>
      </c>
      <c r="H27" s="4" t="n">
        <v>1.77</v>
      </c>
      <c r="I27" s="4" t="n">
        <v>63.92</v>
      </c>
      <c r="J27" s="2" t="s">
        <v>207</v>
      </c>
      <c r="K27" s="2" t="n">
        <v>29.56</v>
      </c>
      <c r="L27" s="4" t="n">
        <v>8.23</v>
      </c>
      <c r="M27" s="2" t="n">
        <v>27.65</v>
      </c>
      <c r="N27" s="2" t="n">
        <v>0.03</v>
      </c>
      <c r="O27" s="2" t="n">
        <v>0.02</v>
      </c>
      <c r="P27" s="2" t="n">
        <v>31.54</v>
      </c>
      <c r="Q27" s="2" t="n">
        <v>78.62</v>
      </c>
      <c r="R27" s="2" t="n">
        <v>30.25</v>
      </c>
      <c r="S27" s="2" t="n">
        <v>0.8</v>
      </c>
      <c r="T27" s="5" t="n">
        <v>8708.17</v>
      </c>
    </row>
    <row r="28" customFormat="false" ht="15" hidden="false" customHeight="false" outlineLevel="0" collapsed="false">
      <c r="A28" s="2" t="s">
        <v>51</v>
      </c>
      <c r="B28" s="2" t="s">
        <v>45</v>
      </c>
      <c r="C28" s="2" t="s">
        <v>187</v>
      </c>
      <c r="D28" s="2" t="n">
        <v>7</v>
      </c>
      <c r="E28" s="2" t="s">
        <v>208</v>
      </c>
      <c r="F28" s="4" t="n">
        <v>2.34</v>
      </c>
      <c r="G28" s="4" t="n">
        <v>962.25</v>
      </c>
      <c r="H28" s="4" t="n">
        <v>1.77</v>
      </c>
      <c r="I28" s="4" t="n">
        <v>63.92</v>
      </c>
      <c r="J28" s="2" t="s">
        <v>207</v>
      </c>
      <c r="K28" s="2" t="n">
        <v>29.56</v>
      </c>
      <c r="L28" s="4" t="n">
        <v>8.23</v>
      </c>
      <c r="M28" s="2" t="n">
        <v>27.65</v>
      </c>
      <c r="N28" s="2" t="n">
        <v>0.03</v>
      </c>
      <c r="O28" s="2" t="n">
        <v>0.02</v>
      </c>
      <c r="P28" s="2" t="n">
        <v>31.54</v>
      </c>
      <c r="Q28" s="2" t="n">
        <v>78.62</v>
      </c>
      <c r="R28" s="2" t="n">
        <v>30.25</v>
      </c>
      <c r="S28" s="2" t="n">
        <v>0.8</v>
      </c>
      <c r="T28" s="5" t="n">
        <v>8708.17</v>
      </c>
    </row>
    <row r="29" customFormat="false" ht="15" hidden="false" customHeight="false" outlineLevel="0" collapsed="false">
      <c r="A29" s="2" t="s">
        <v>52</v>
      </c>
      <c r="B29" s="2" t="s">
        <v>45</v>
      </c>
      <c r="C29" s="2" t="s">
        <v>187</v>
      </c>
      <c r="D29" s="2" t="n">
        <v>8</v>
      </c>
      <c r="E29" s="2" t="s">
        <v>208</v>
      </c>
      <c r="F29" s="4" t="n">
        <v>2.34</v>
      </c>
      <c r="G29" s="4" t="n">
        <v>962.25</v>
      </c>
      <c r="H29" s="4" t="n">
        <v>1.77</v>
      </c>
      <c r="I29" s="4" t="n">
        <v>63.92</v>
      </c>
      <c r="J29" s="2" t="s">
        <v>207</v>
      </c>
      <c r="K29" s="2" t="n">
        <v>29.56</v>
      </c>
      <c r="L29" s="4" t="n">
        <v>8.23</v>
      </c>
      <c r="M29" s="2" t="n">
        <v>27.65</v>
      </c>
      <c r="N29" s="2" t="n">
        <v>0.03</v>
      </c>
      <c r="O29" s="2" t="n">
        <v>0.02</v>
      </c>
      <c r="P29" s="2" t="n">
        <v>31.54</v>
      </c>
      <c r="Q29" s="2" t="n">
        <v>78.62</v>
      </c>
      <c r="R29" s="2" t="n">
        <v>30.25</v>
      </c>
      <c r="S29" s="2" t="n">
        <v>0.8</v>
      </c>
      <c r="T29" s="5" t="n">
        <v>8708.17</v>
      </c>
    </row>
    <row r="30" customFormat="false" ht="15" hidden="false" customHeight="false" outlineLevel="0" collapsed="false">
      <c r="A30" s="2" t="s">
        <v>53</v>
      </c>
      <c r="B30" s="2" t="s">
        <v>45</v>
      </c>
      <c r="C30" s="2" t="s">
        <v>187</v>
      </c>
      <c r="D30" s="2" t="n">
        <v>9</v>
      </c>
      <c r="E30" s="2" t="s">
        <v>208</v>
      </c>
      <c r="F30" s="4" t="n">
        <v>2.34</v>
      </c>
      <c r="G30" s="4" t="n">
        <v>962.25</v>
      </c>
      <c r="H30" s="4" t="n">
        <v>1.77</v>
      </c>
      <c r="I30" s="4" t="n">
        <v>63.92</v>
      </c>
      <c r="J30" s="2" t="s">
        <v>207</v>
      </c>
      <c r="K30" s="2" t="n">
        <v>29.56</v>
      </c>
      <c r="L30" s="4" t="n">
        <v>8.23</v>
      </c>
      <c r="M30" s="2" t="n">
        <v>27.65</v>
      </c>
      <c r="N30" s="2" t="n">
        <v>0.03</v>
      </c>
      <c r="O30" s="2" t="n">
        <v>0.02</v>
      </c>
      <c r="P30" s="2" t="n">
        <v>31.54</v>
      </c>
      <c r="Q30" s="2" t="n">
        <v>78.62</v>
      </c>
      <c r="R30" s="2" t="n">
        <v>30.25</v>
      </c>
      <c r="S30" s="2" t="n">
        <v>0.8</v>
      </c>
      <c r="T30" s="5" t="n">
        <v>8708.17</v>
      </c>
    </row>
    <row r="31" customFormat="false" ht="15" hidden="false" customHeight="false" outlineLevel="0" collapsed="false">
      <c r="A31" s="2" t="s">
        <v>54</v>
      </c>
      <c r="B31" s="2" t="s">
        <v>45</v>
      </c>
      <c r="C31" s="2" t="s">
        <v>187</v>
      </c>
      <c r="D31" s="2" t="n">
        <v>10</v>
      </c>
      <c r="E31" s="2" t="s">
        <v>208</v>
      </c>
      <c r="F31" s="4" t="n">
        <v>2.34</v>
      </c>
      <c r="G31" s="4" t="n">
        <v>962.25</v>
      </c>
      <c r="H31" s="4" t="n">
        <v>1.77</v>
      </c>
      <c r="I31" s="4" t="n">
        <v>63.92</v>
      </c>
      <c r="J31" s="2" t="s">
        <v>207</v>
      </c>
      <c r="K31" s="2" t="n">
        <v>29.56</v>
      </c>
      <c r="L31" s="4" t="n">
        <v>8.23</v>
      </c>
      <c r="M31" s="2" t="n">
        <v>27.65</v>
      </c>
      <c r="N31" s="2" t="n">
        <v>0.03</v>
      </c>
      <c r="O31" s="2" t="n">
        <v>0.02</v>
      </c>
      <c r="P31" s="2" t="n">
        <v>31.54</v>
      </c>
      <c r="Q31" s="2" t="n">
        <v>78.62</v>
      </c>
      <c r="R31" s="2" t="n">
        <v>30.25</v>
      </c>
      <c r="S31" s="2" t="n">
        <v>0.8</v>
      </c>
      <c r="T31" s="5" t="n">
        <v>8708.17</v>
      </c>
    </row>
    <row r="32" customFormat="false" ht="15" hidden="false" customHeight="false" outlineLevel="0" collapsed="false">
      <c r="A32" s="2" t="s">
        <v>55</v>
      </c>
      <c r="B32" s="2" t="s">
        <v>45</v>
      </c>
      <c r="C32" s="2" t="s">
        <v>188</v>
      </c>
      <c r="D32" s="2" t="n">
        <v>1</v>
      </c>
      <c r="E32" s="2" t="s">
        <v>206</v>
      </c>
      <c r="F32" s="4" t="n">
        <v>2.34</v>
      </c>
      <c r="G32" s="4" t="n">
        <v>962.25</v>
      </c>
      <c r="H32" s="4" t="n">
        <v>1.77</v>
      </c>
      <c r="I32" s="4" t="n">
        <v>42.55</v>
      </c>
      <c r="J32" s="2" t="s">
        <v>207</v>
      </c>
      <c r="K32" s="2" t="n">
        <v>7.61</v>
      </c>
      <c r="L32" s="4" t="n">
        <v>7.31</v>
      </c>
      <c r="M32" s="2" t="n">
        <v>29.94</v>
      </c>
      <c r="N32" s="2" t="n">
        <v>0.07</v>
      </c>
      <c r="O32" s="2" t="n">
        <v>0.03</v>
      </c>
      <c r="P32" s="2" t="n">
        <v>34.12</v>
      </c>
      <c r="Q32" s="2" t="n">
        <v>56.25</v>
      </c>
      <c r="R32" s="2" t="n">
        <v>47</v>
      </c>
      <c r="S32" s="2" t="n">
        <v>2.5</v>
      </c>
      <c r="T32" s="5" t="n">
        <v>9320.15</v>
      </c>
    </row>
    <row r="33" customFormat="false" ht="15" hidden="false" customHeight="false" outlineLevel="0" collapsed="false">
      <c r="A33" s="2" t="s">
        <v>56</v>
      </c>
      <c r="B33" s="2" t="s">
        <v>45</v>
      </c>
      <c r="C33" s="2" t="s">
        <v>188</v>
      </c>
      <c r="D33" s="2" t="n">
        <v>2</v>
      </c>
      <c r="E33" s="2" t="s">
        <v>206</v>
      </c>
      <c r="F33" s="4" t="n">
        <v>2.34</v>
      </c>
      <c r="G33" s="4" t="n">
        <v>962.25</v>
      </c>
      <c r="H33" s="4" t="n">
        <v>1.77</v>
      </c>
      <c r="I33" s="4" t="n">
        <v>42.55</v>
      </c>
      <c r="J33" s="2" t="s">
        <v>207</v>
      </c>
      <c r="K33" s="2" t="n">
        <v>7.61</v>
      </c>
      <c r="L33" s="4" t="n">
        <v>7.31</v>
      </c>
      <c r="M33" s="2" t="n">
        <v>29.94</v>
      </c>
      <c r="N33" s="2" t="n">
        <v>0.07</v>
      </c>
      <c r="O33" s="2" t="n">
        <v>0.03</v>
      </c>
      <c r="P33" s="2" t="n">
        <v>34.12</v>
      </c>
      <c r="Q33" s="2" t="n">
        <v>56.25</v>
      </c>
      <c r="R33" s="2" t="n">
        <v>47</v>
      </c>
      <c r="S33" s="2" t="n">
        <v>2.5</v>
      </c>
      <c r="T33" s="5" t="n">
        <v>9320.15</v>
      </c>
    </row>
    <row r="34" customFormat="false" ht="15" hidden="false" customHeight="false" outlineLevel="0" collapsed="false">
      <c r="A34" s="2" t="s">
        <v>57</v>
      </c>
      <c r="B34" s="2" t="s">
        <v>45</v>
      </c>
      <c r="C34" s="2" t="s">
        <v>188</v>
      </c>
      <c r="D34" s="2" t="n">
        <v>3</v>
      </c>
      <c r="E34" s="2" t="s">
        <v>206</v>
      </c>
      <c r="F34" s="4" t="n">
        <v>2.34</v>
      </c>
      <c r="G34" s="4" t="n">
        <v>962.25</v>
      </c>
      <c r="H34" s="4" t="n">
        <v>1.77</v>
      </c>
      <c r="I34" s="4" t="n">
        <v>42.55</v>
      </c>
      <c r="J34" s="2" t="s">
        <v>207</v>
      </c>
      <c r="K34" s="2" t="n">
        <v>7.61</v>
      </c>
      <c r="L34" s="4" t="n">
        <v>7.31</v>
      </c>
      <c r="M34" s="2" t="n">
        <v>29.94</v>
      </c>
      <c r="N34" s="2" t="n">
        <v>0.07</v>
      </c>
      <c r="O34" s="2" t="n">
        <v>0.03</v>
      </c>
      <c r="P34" s="2" t="n">
        <v>34.12</v>
      </c>
      <c r="Q34" s="2" t="n">
        <v>56.25</v>
      </c>
      <c r="R34" s="2" t="n">
        <v>47</v>
      </c>
      <c r="S34" s="2" t="n">
        <v>2.5</v>
      </c>
      <c r="T34" s="5" t="n">
        <v>9320.15</v>
      </c>
    </row>
    <row r="35" customFormat="false" ht="15" hidden="false" customHeight="false" outlineLevel="0" collapsed="false">
      <c r="A35" s="2" t="s">
        <v>58</v>
      </c>
      <c r="B35" s="2" t="s">
        <v>45</v>
      </c>
      <c r="C35" s="2" t="s">
        <v>188</v>
      </c>
      <c r="D35" s="2" t="n">
        <v>4</v>
      </c>
      <c r="E35" s="2" t="s">
        <v>206</v>
      </c>
      <c r="F35" s="4" t="n">
        <v>2.34</v>
      </c>
      <c r="G35" s="4" t="n">
        <v>962.25</v>
      </c>
      <c r="H35" s="4" t="n">
        <v>1.77</v>
      </c>
      <c r="I35" s="4" t="n">
        <v>42.55</v>
      </c>
      <c r="J35" s="2" t="s">
        <v>207</v>
      </c>
      <c r="K35" s="2" t="n">
        <v>7.61</v>
      </c>
      <c r="L35" s="4" t="n">
        <v>7.31</v>
      </c>
      <c r="M35" s="2" t="n">
        <v>29.94</v>
      </c>
      <c r="N35" s="2" t="n">
        <v>0.07</v>
      </c>
      <c r="O35" s="2" t="n">
        <v>0.03</v>
      </c>
      <c r="P35" s="2" t="n">
        <v>34.12</v>
      </c>
      <c r="Q35" s="2" t="n">
        <v>56.25</v>
      </c>
      <c r="R35" s="2" t="n">
        <v>47</v>
      </c>
      <c r="S35" s="2" t="n">
        <v>2.5</v>
      </c>
      <c r="T35" s="5" t="n">
        <v>9320.15</v>
      </c>
    </row>
    <row r="36" customFormat="false" ht="15" hidden="false" customHeight="false" outlineLevel="0" collapsed="false">
      <c r="A36" s="2" t="s">
        <v>59</v>
      </c>
      <c r="B36" s="2" t="s">
        <v>45</v>
      </c>
      <c r="C36" s="2" t="s">
        <v>188</v>
      </c>
      <c r="D36" s="2" t="n">
        <v>5</v>
      </c>
      <c r="E36" s="2" t="s">
        <v>206</v>
      </c>
      <c r="F36" s="4" t="n">
        <v>2.34</v>
      </c>
      <c r="G36" s="4" t="n">
        <v>962.25</v>
      </c>
      <c r="H36" s="4" t="n">
        <v>1.77</v>
      </c>
      <c r="I36" s="4" t="n">
        <v>42.55</v>
      </c>
      <c r="J36" s="2" t="s">
        <v>207</v>
      </c>
      <c r="K36" s="2" t="n">
        <v>7.61</v>
      </c>
      <c r="L36" s="4" t="n">
        <v>7.31</v>
      </c>
      <c r="M36" s="2" t="n">
        <v>29.94</v>
      </c>
      <c r="N36" s="2" t="n">
        <v>0.07</v>
      </c>
      <c r="O36" s="2" t="n">
        <v>0.03</v>
      </c>
      <c r="P36" s="2" t="n">
        <v>34.12</v>
      </c>
      <c r="Q36" s="2" t="n">
        <v>56.25</v>
      </c>
      <c r="R36" s="2" t="n">
        <v>47</v>
      </c>
      <c r="S36" s="2" t="n">
        <v>2.5</v>
      </c>
      <c r="T36" s="5" t="n">
        <v>9320.15</v>
      </c>
    </row>
    <row r="37" customFormat="false" ht="15" hidden="false" customHeight="false" outlineLevel="0" collapsed="false">
      <c r="A37" s="2" t="s">
        <v>60</v>
      </c>
      <c r="B37" s="2" t="s">
        <v>45</v>
      </c>
      <c r="C37" s="2" t="s">
        <v>188</v>
      </c>
      <c r="D37" s="2" t="n">
        <v>8</v>
      </c>
      <c r="E37" s="2" t="s">
        <v>208</v>
      </c>
      <c r="F37" s="4" t="n">
        <v>2.34</v>
      </c>
      <c r="G37" s="4" t="n">
        <v>962.25</v>
      </c>
      <c r="H37" s="4" t="n">
        <v>1.77</v>
      </c>
      <c r="I37" s="4" t="n">
        <v>42.55</v>
      </c>
      <c r="J37" s="2" t="s">
        <v>207</v>
      </c>
      <c r="K37" s="2" t="n">
        <v>7.61</v>
      </c>
      <c r="L37" s="4" t="n">
        <v>7.31</v>
      </c>
      <c r="M37" s="2" t="n">
        <v>29.94</v>
      </c>
      <c r="N37" s="2" t="n">
        <v>0.07</v>
      </c>
      <c r="O37" s="2" t="n">
        <v>0.03</v>
      </c>
      <c r="P37" s="2" t="n">
        <v>34.12</v>
      </c>
      <c r="Q37" s="2" t="n">
        <v>56.25</v>
      </c>
      <c r="R37" s="2" t="n">
        <v>47</v>
      </c>
      <c r="S37" s="2" t="n">
        <v>2.5</v>
      </c>
      <c r="T37" s="5" t="n">
        <v>9320.15</v>
      </c>
    </row>
    <row r="38" customFormat="false" ht="15" hidden="false" customHeight="false" outlineLevel="0" collapsed="false">
      <c r="A38" s="2" t="s">
        <v>61</v>
      </c>
      <c r="B38" s="2" t="s">
        <v>45</v>
      </c>
      <c r="C38" s="2" t="s">
        <v>188</v>
      </c>
      <c r="D38" s="2" t="n">
        <v>9</v>
      </c>
      <c r="E38" s="2" t="s">
        <v>208</v>
      </c>
      <c r="F38" s="4" t="n">
        <v>2.34</v>
      </c>
      <c r="G38" s="4" t="n">
        <v>962.25</v>
      </c>
      <c r="H38" s="4" t="n">
        <v>1.77</v>
      </c>
      <c r="I38" s="4" t="n">
        <v>42.55</v>
      </c>
      <c r="J38" s="2" t="s">
        <v>207</v>
      </c>
      <c r="K38" s="2" t="n">
        <v>7.61</v>
      </c>
      <c r="L38" s="4" t="n">
        <v>7.31</v>
      </c>
      <c r="M38" s="2" t="n">
        <v>29.94</v>
      </c>
      <c r="N38" s="2" t="n">
        <v>0.07</v>
      </c>
      <c r="O38" s="2" t="n">
        <v>0.03</v>
      </c>
      <c r="P38" s="2" t="n">
        <v>34.12</v>
      </c>
      <c r="Q38" s="2" t="n">
        <v>56.25</v>
      </c>
      <c r="R38" s="2" t="n">
        <v>47</v>
      </c>
      <c r="S38" s="2" t="n">
        <v>2.5</v>
      </c>
      <c r="T38" s="5" t="n">
        <v>9320.15</v>
      </c>
    </row>
    <row r="39" customFormat="false" ht="15" hidden="false" customHeight="false" outlineLevel="0" collapsed="false">
      <c r="A39" s="2" t="s">
        <v>62</v>
      </c>
      <c r="B39" s="2" t="s">
        <v>45</v>
      </c>
      <c r="C39" s="2" t="s">
        <v>188</v>
      </c>
      <c r="D39" s="2" t="n">
        <v>10</v>
      </c>
      <c r="E39" s="2" t="s">
        <v>208</v>
      </c>
      <c r="F39" s="4" t="n">
        <v>2.34</v>
      </c>
      <c r="G39" s="4" t="n">
        <v>962.25</v>
      </c>
      <c r="H39" s="4" t="n">
        <v>1.77</v>
      </c>
      <c r="I39" s="4" t="n">
        <v>42.55</v>
      </c>
      <c r="J39" s="2" t="s">
        <v>207</v>
      </c>
      <c r="K39" s="2" t="n">
        <v>7.61</v>
      </c>
      <c r="L39" s="4" t="n">
        <v>7.31</v>
      </c>
      <c r="M39" s="2" t="n">
        <v>29.94</v>
      </c>
      <c r="N39" s="2" t="n">
        <v>0.07</v>
      </c>
      <c r="O39" s="2" t="n">
        <v>0.03</v>
      </c>
      <c r="P39" s="2" t="n">
        <v>34.12</v>
      </c>
      <c r="Q39" s="2" t="n">
        <v>56.25</v>
      </c>
      <c r="R39" s="2" t="n">
        <v>47</v>
      </c>
      <c r="S39" s="2" t="n">
        <v>2.5</v>
      </c>
      <c r="T39" s="5" t="n">
        <v>9320.15</v>
      </c>
    </row>
    <row r="40" customFormat="false" ht="15" hidden="false" customHeight="false" outlineLevel="0" collapsed="false">
      <c r="A40" s="2" t="s">
        <v>63</v>
      </c>
      <c r="B40" s="2" t="s">
        <v>64</v>
      </c>
      <c r="C40" s="2" t="s">
        <v>187</v>
      </c>
      <c r="D40" s="2" t="n">
        <v>1</v>
      </c>
      <c r="E40" s="2" t="s">
        <v>206</v>
      </c>
      <c r="F40" s="4" t="n">
        <v>54.67</v>
      </c>
      <c r="G40" s="4" t="n">
        <v>15367.25</v>
      </c>
      <c r="H40" s="4" t="n">
        <v>5.86</v>
      </c>
      <c r="I40" s="4" t="n">
        <v>71.25</v>
      </c>
      <c r="J40" s="2" t="s">
        <v>209</v>
      </c>
      <c r="K40" s="2" t="n">
        <v>41.53</v>
      </c>
      <c r="L40" s="4" t="n">
        <v>7.72</v>
      </c>
      <c r="M40" s="2" t="n">
        <v>26.26</v>
      </c>
      <c r="N40" s="2" t="n">
        <v>0.04</v>
      </c>
      <c r="O40" s="2" t="n">
        <v>0.02</v>
      </c>
      <c r="P40" s="2" t="n">
        <v>29.8</v>
      </c>
      <c r="Q40" s="2" t="n">
        <v>86.9</v>
      </c>
      <c r="R40" s="2" t="n">
        <v>23.5</v>
      </c>
      <c r="S40" s="2" t="n">
        <v>1.9</v>
      </c>
      <c r="T40" s="5" t="n">
        <v>1074.55</v>
      </c>
    </row>
    <row r="41" customFormat="false" ht="15" hidden="false" customHeight="false" outlineLevel="0" collapsed="false">
      <c r="A41" s="2" t="s">
        <v>65</v>
      </c>
      <c r="B41" s="2" t="s">
        <v>64</v>
      </c>
      <c r="C41" s="2" t="s">
        <v>187</v>
      </c>
      <c r="D41" s="2" t="n">
        <v>2</v>
      </c>
      <c r="E41" s="2" t="s">
        <v>206</v>
      </c>
      <c r="F41" s="4" t="n">
        <v>54.67</v>
      </c>
      <c r="G41" s="4" t="n">
        <v>15367.25</v>
      </c>
      <c r="H41" s="4" t="n">
        <v>5.86</v>
      </c>
      <c r="I41" s="4" t="n">
        <v>71.25</v>
      </c>
      <c r="J41" s="2" t="s">
        <v>209</v>
      </c>
      <c r="K41" s="2" t="n">
        <v>41.53</v>
      </c>
      <c r="L41" s="4" t="n">
        <v>7.72</v>
      </c>
      <c r="M41" s="2" t="n">
        <v>26.26</v>
      </c>
      <c r="N41" s="2" t="n">
        <v>0.04</v>
      </c>
      <c r="O41" s="2" t="n">
        <v>0.02</v>
      </c>
      <c r="P41" s="2" t="n">
        <v>29.8</v>
      </c>
      <c r="Q41" s="2" t="n">
        <v>86.9</v>
      </c>
      <c r="R41" s="2" t="n">
        <v>23.5</v>
      </c>
      <c r="S41" s="2" t="n">
        <v>1.9</v>
      </c>
      <c r="T41" s="5" t="n">
        <v>1074.55</v>
      </c>
    </row>
    <row r="42" customFormat="false" ht="15" hidden="false" customHeight="false" outlineLevel="0" collapsed="false">
      <c r="A42" s="2" t="s">
        <v>66</v>
      </c>
      <c r="B42" s="2" t="s">
        <v>64</v>
      </c>
      <c r="C42" s="2" t="s">
        <v>187</v>
      </c>
      <c r="D42" s="2" t="n">
        <v>3</v>
      </c>
      <c r="E42" s="2" t="s">
        <v>206</v>
      </c>
      <c r="F42" s="4" t="n">
        <v>54.67</v>
      </c>
      <c r="G42" s="4" t="n">
        <v>15367.25</v>
      </c>
      <c r="H42" s="4" t="n">
        <v>5.86</v>
      </c>
      <c r="I42" s="4" t="n">
        <v>71.25</v>
      </c>
      <c r="J42" s="2" t="s">
        <v>209</v>
      </c>
      <c r="K42" s="2" t="n">
        <v>41.53</v>
      </c>
      <c r="L42" s="4" t="n">
        <v>7.72</v>
      </c>
      <c r="M42" s="2" t="n">
        <v>26.26</v>
      </c>
      <c r="N42" s="2" t="n">
        <v>0.04</v>
      </c>
      <c r="O42" s="2" t="n">
        <v>0.02</v>
      </c>
      <c r="P42" s="2" t="n">
        <v>29.8</v>
      </c>
      <c r="Q42" s="2" t="n">
        <v>86.9</v>
      </c>
      <c r="R42" s="2" t="n">
        <v>23.5</v>
      </c>
      <c r="S42" s="2" t="n">
        <v>1.9</v>
      </c>
      <c r="T42" s="5" t="n">
        <v>1074.55</v>
      </c>
    </row>
    <row r="43" customFormat="false" ht="15" hidden="false" customHeight="false" outlineLevel="0" collapsed="false">
      <c r="A43" s="2" t="s">
        <v>67</v>
      </c>
      <c r="B43" s="2" t="s">
        <v>64</v>
      </c>
      <c r="C43" s="2" t="s">
        <v>187</v>
      </c>
      <c r="D43" s="2" t="n">
        <v>6</v>
      </c>
      <c r="E43" s="2" t="s">
        <v>208</v>
      </c>
      <c r="F43" s="4" t="n">
        <v>54.67</v>
      </c>
      <c r="G43" s="4" t="n">
        <v>15367.25</v>
      </c>
      <c r="H43" s="4" t="n">
        <v>5.86</v>
      </c>
      <c r="I43" s="4" t="n">
        <v>71.25</v>
      </c>
      <c r="J43" s="2" t="s">
        <v>209</v>
      </c>
      <c r="K43" s="2" t="n">
        <v>41.53</v>
      </c>
      <c r="L43" s="4" t="n">
        <v>7.72</v>
      </c>
      <c r="M43" s="2" t="n">
        <v>26.26</v>
      </c>
      <c r="N43" s="2" t="n">
        <v>0.04</v>
      </c>
      <c r="O43" s="2" t="n">
        <v>0.02</v>
      </c>
      <c r="P43" s="2" t="n">
        <v>29.8</v>
      </c>
      <c r="Q43" s="2" t="n">
        <v>86.9</v>
      </c>
      <c r="R43" s="2" t="n">
        <v>23.5</v>
      </c>
      <c r="S43" s="2" t="n">
        <v>1.9</v>
      </c>
      <c r="T43" s="5" t="n">
        <v>1074.55</v>
      </c>
    </row>
    <row r="44" customFormat="false" ht="15" hidden="false" customHeight="false" outlineLevel="0" collapsed="false">
      <c r="A44" s="2" t="s">
        <v>68</v>
      </c>
      <c r="B44" s="2" t="s">
        <v>64</v>
      </c>
      <c r="C44" s="2" t="s">
        <v>187</v>
      </c>
      <c r="D44" s="2" t="n">
        <v>7</v>
      </c>
      <c r="E44" s="2" t="s">
        <v>208</v>
      </c>
      <c r="F44" s="4" t="n">
        <v>54.67</v>
      </c>
      <c r="G44" s="4" t="n">
        <v>15367.25</v>
      </c>
      <c r="H44" s="4" t="n">
        <v>5.86</v>
      </c>
      <c r="I44" s="4" t="n">
        <v>71.25</v>
      </c>
      <c r="J44" s="2" t="s">
        <v>209</v>
      </c>
      <c r="K44" s="2" t="n">
        <v>41.53</v>
      </c>
      <c r="L44" s="4" t="n">
        <v>7.72</v>
      </c>
      <c r="M44" s="2" t="n">
        <v>26.26</v>
      </c>
      <c r="N44" s="2" t="n">
        <v>0.04</v>
      </c>
      <c r="O44" s="2" t="n">
        <v>0.02</v>
      </c>
      <c r="P44" s="2" t="n">
        <v>29.8</v>
      </c>
      <c r="Q44" s="2" t="n">
        <v>86.9</v>
      </c>
      <c r="R44" s="2" t="n">
        <v>23.5</v>
      </c>
      <c r="S44" s="2" t="n">
        <v>1.9</v>
      </c>
      <c r="T44" s="5" t="n">
        <v>1074.55</v>
      </c>
    </row>
    <row r="45" customFormat="false" ht="15" hidden="false" customHeight="false" outlineLevel="0" collapsed="false">
      <c r="A45" s="2" t="s">
        <v>69</v>
      </c>
      <c r="B45" s="2" t="s">
        <v>64</v>
      </c>
      <c r="C45" s="2" t="s">
        <v>187</v>
      </c>
      <c r="D45" s="2" t="n">
        <v>10</v>
      </c>
      <c r="E45" s="2" t="s">
        <v>208</v>
      </c>
      <c r="F45" s="4" t="n">
        <v>54.67</v>
      </c>
      <c r="G45" s="4" t="n">
        <v>15367.25</v>
      </c>
      <c r="H45" s="4" t="n">
        <v>5.86</v>
      </c>
      <c r="I45" s="4" t="n">
        <v>71.25</v>
      </c>
      <c r="J45" s="2" t="s">
        <v>209</v>
      </c>
      <c r="K45" s="2" t="n">
        <v>41.53</v>
      </c>
      <c r="L45" s="4" t="n">
        <v>7.72</v>
      </c>
      <c r="M45" s="2" t="n">
        <v>26.26</v>
      </c>
      <c r="N45" s="2" t="n">
        <v>0.04</v>
      </c>
      <c r="O45" s="2" t="n">
        <v>0.02</v>
      </c>
      <c r="P45" s="2" t="n">
        <v>29.8</v>
      </c>
      <c r="Q45" s="2" t="n">
        <v>86.9</v>
      </c>
      <c r="R45" s="2" t="n">
        <v>23.5</v>
      </c>
      <c r="S45" s="2" t="n">
        <v>1.9</v>
      </c>
      <c r="T45" s="5" t="n">
        <v>1074.55</v>
      </c>
    </row>
    <row r="46" customFormat="false" ht="15" hidden="false" customHeight="false" outlineLevel="0" collapsed="false">
      <c r="A46" s="2" t="s">
        <v>70</v>
      </c>
      <c r="B46" s="2" t="s">
        <v>64</v>
      </c>
      <c r="C46" s="2" t="s">
        <v>188</v>
      </c>
      <c r="D46" s="2" t="n">
        <v>1</v>
      </c>
      <c r="E46" s="2" t="s">
        <v>206</v>
      </c>
      <c r="F46" s="4" t="n">
        <v>54.67</v>
      </c>
      <c r="G46" s="4" t="n">
        <v>15367.25</v>
      </c>
      <c r="H46" s="4" t="n">
        <v>5.86</v>
      </c>
      <c r="I46" s="4" t="n">
        <v>58.49</v>
      </c>
      <c r="J46" s="2" t="s">
        <v>209</v>
      </c>
      <c r="K46" s="2" t="n">
        <v>11.65</v>
      </c>
      <c r="L46" s="4" t="n">
        <v>6.53</v>
      </c>
      <c r="M46" s="2" t="n">
        <v>25.54</v>
      </c>
      <c r="N46" s="2" t="n">
        <v>0.04</v>
      </c>
      <c r="O46" s="2" t="n">
        <v>0.02</v>
      </c>
      <c r="P46" s="2" t="n">
        <v>31.85</v>
      </c>
      <c r="Q46" s="2" t="n">
        <v>61.2</v>
      </c>
      <c r="R46" s="2" t="n">
        <v>71.25</v>
      </c>
      <c r="S46" s="2" t="n">
        <v>4.55</v>
      </c>
      <c r="T46" s="5" t="n">
        <v>1143.92</v>
      </c>
    </row>
    <row r="47" customFormat="false" ht="15" hidden="false" customHeight="false" outlineLevel="0" collapsed="false">
      <c r="A47" s="2" t="s">
        <v>71</v>
      </c>
      <c r="B47" s="2" t="s">
        <v>64</v>
      </c>
      <c r="C47" s="2" t="s">
        <v>188</v>
      </c>
      <c r="D47" s="2" t="n">
        <v>2</v>
      </c>
      <c r="E47" s="2" t="s">
        <v>206</v>
      </c>
      <c r="F47" s="4" t="n">
        <v>54.67</v>
      </c>
      <c r="G47" s="4" t="n">
        <v>15367.25</v>
      </c>
      <c r="H47" s="4" t="n">
        <v>5.86</v>
      </c>
      <c r="I47" s="4" t="n">
        <v>58.49</v>
      </c>
      <c r="J47" s="2" t="s">
        <v>209</v>
      </c>
      <c r="K47" s="2" t="n">
        <v>11.65</v>
      </c>
      <c r="L47" s="4" t="n">
        <v>6.53</v>
      </c>
      <c r="M47" s="2" t="n">
        <v>25.54</v>
      </c>
      <c r="N47" s="2" t="n">
        <v>0.04</v>
      </c>
      <c r="O47" s="2" t="n">
        <v>0.02</v>
      </c>
      <c r="P47" s="2" t="n">
        <v>31.85</v>
      </c>
      <c r="Q47" s="2" t="n">
        <v>61.2</v>
      </c>
      <c r="R47" s="2" t="n">
        <v>71.25</v>
      </c>
      <c r="S47" s="2" t="n">
        <v>4.55</v>
      </c>
      <c r="T47" s="5" t="n">
        <v>1143.92</v>
      </c>
    </row>
    <row r="48" customFormat="false" ht="15" hidden="false" customHeight="false" outlineLevel="0" collapsed="false">
      <c r="A48" s="2" t="s">
        <v>72</v>
      </c>
      <c r="B48" s="2" t="s">
        <v>64</v>
      </c>
      <c r="C48" s="2" t="s">
        <v>188</v>
      </c>
      <c r="D48" s="2" t="n">
        <v>3</v>
      </c>
      <c r="E48" s="2" t="s">
        <v>206</v>
      </c>
      <c r="F48" s="4" t="n">
        <v>54.67</v>
      </c>
      <c r="G48" s="4" t="n">
        <v>15367.25</v>
      </c>
      <c r="H48" s="4" t="n">
        <v>5.86</v>
      </c>
      <c r="I48" s="4" t="n">
        <v>58.49</v>
      </c>
      <c r="J48" s="2" t="s">
        <v>209</v>
      </c>
      <c r="K48" s="2" t="n">
        <v>11.65</v>
      </c>
      <c r="L48" s="4" t="n">
        <v>6.53</v>
      </c>
      <c r="M48" s="2" t="n">
        <v>25.54</v>
      </c>
      <c r="N48" s="2" t="n">
        <v>0.04</v>
      </c>
      <c r="O48" s="2" t="n">
        <v>0.02</v>
      </c>
      <c r="P48" s="2" t="n">
        <v>31.85</v>
      </c>
      <c r="Q48" s="2" t="n">
        <v>61.2</v>
      </c>
      <c r="R48" s="2" t="n">
        <v>71.25</v>
      </c>
      <c r="S48" s="2" t="n">
        <v>4.55</v>
      </c>
      <c r="T48" s="5" t="n">
        <v>1143.92</v>
      </c>
    </row>
    <row r="49" customFormat="false" ht="15" hidden="false" customHeight="false" outlineLevel="0" collapsed="false">
      <c r="A49" s="2" t="s">
        <v>73</v>
      </c>
      <c r="B49" s="2" t="s">
        <v>64</v>
      </c>
      <c r="C49" s="2" t="s">
        <v>188</v>
      </c>
      <c r="D49" s="2" t="n">
        <v>4</v>
      </c>
      <c r="E49" s="2" t="s">
        <v>206</v>
      </c>
      <c r="F49" s="4" t="n">
        <v>54.67</v>
      </c>
      <c r="G49" s="4" t="n">
        <v>15367.25</v>
      </c>
      <c r="H49" s="4" t="n">
        <v>5.86</v>
      </c>
      <c r="I49" s="4" t="n">
        <v>58.49</v>
      </c>
      <c r="J49" s="2" t="s">
        <v>209</v>
      </c>
      <c r="K49" s="2" t="n">
        <v>11.65</v>
      </c>
      <c r="L49" s="4" t="n">
        <v>6.53</v>
      </c>
      <c r="M49" s="2" t="n">
        <v>25.54</v>
      </c>
      <c r="N49" s="2" t="n">
        <v>0.04</v>
      </c>
      <c r="O49" s="2" t="n">
        <v>0.02</v>
      </c>
      <c r="P49" s="2" t="n">
        <v>31.85</v>
      </c>
      <c r="Q49" s="2" t="n">
        <v>61.2</v>
      </c>
      <c r="R49" s="2" t="n">
        <v>71.25</v>
      </c>
      <c r="S49" s="2" t="n">
        <v>4.55</v>
      </c>
      <c r="T49" s="5" t="n">
        <v>1143.92</v>
      </c>
    </row>
    <row r="50" customFormat="false" ht="15" hidden="false" customHeight="false" outlineLevel="0" collapsed="false">
      <c r="A50" s="2" t="s">
        <v>74</v>
      </c>
      <c r="B50" s="2" t="s">
        <v>64</v>
      </c>
      <c r="C50" s="2" t="s">
        <v>188</v>
      </c>
      <c r="D50" s="2" t="n">
        <v>5</v>
      </c>
      <c r="E50" s="2" t="s">
        <v>206</v>
      </c>
      <c r="F50" s="4" t="n">
        <v>54.67</v>
      </c>
      <c r="G50" s="4" t="n">
        <v>15367.25</v>
      </c>
      <c r="H50" s="4" t="n">
        <v>5.86</v>
      </c>
      <c r="I50" s="4" t="n">
        <v>58.49</v>
      </c>
      <c r="J50" s="2" t="s">
        <v>209</v>
      </c>
      <c r="K50" s="2" t="n">
        <v>11.65</v>
      </c>
      <c r="L50" s="4" t="n">
        <v>6.53</v>
      </c>
      <c r="M50" s="2" t="n">
        <v>25.54</v>
      </c>
      <c r="N50" s="2" t="n">
        <v>0.04</v>
      </c>
      <c r="O50" s="2" t="n">
        <v>0.02</v>
      </c>
      <c r="P50" s="2" t="n">
        <v>31.85</v>
      </c>
      <c r="Q50" s="2" t="n">
        <v>61.2</v>
      </c>
      <c r="R50" s="2" t="n">
        <v>71.25</v>
      </c>
      <c r="S50" s="2" t="n">
        <v>4.55</v>
      </c>
      <c r="T50" s="5" t="n">
        <v>1143.92</v>
      </c>
    </row>
    <row r="51" customFormat="false" ht="15" hidden="false" customHeight="false" outlineLevel="0" collapsed="false">
      <c r="A51" s="2" t="s">
        <v>75</v>
      </c>
      <c r="B51" s="2" t="s">
        <v>64</v>
      </c>
      <c r="C51" s="2" t="s">
        <v>188</v>
      </c>
      <c r="D51" s="2" t="n">
        <v>6</v>
      </c>
      <c r="E51" s="2" t="s">
        <v>208</v>
      </c>
      <c r="F51" s="4" t="n">
        <v>54.67</v>
      </c>
      <c r="G51" s="4" t="n">
        <v>15367.25</v>
      </c>
      <c r="H51" s="4" t="n">
        <v>5.86</v>
      </c>
      <c r="I51" s="4" t="n">
        <v>58.49</v>
      </c>
      <c r="J51" s="2" t="s">
        <v>209</v>
      </c>
      <c r="K51" s="2" t="n">
        <v>11.65</v>
      </c>
      <c r="L51" s="4" t="n">
        <v>6.53</v>
      </c>
      <c r="M51" s="2" t="n">
        <v>25.54</v>
      </c>
      <c r="N51" s="2" t="n">
        <v>0.04</v>
      </c>
      <c r="O51" s="2" t="n">
        <v>0.02</v>
      </c>
      <c r="P51" s="2" t="n">
        <v>31.85</v>
      </c>
      <c r="Q51" s="2" t="n">
        <v>61.2</v>
      </c>
      <c r="R51" s="2" t="n">
        <v>71.25</v>
      </c>
      <c r="S51" s="2" t="n">
        <v>4.55</v>
      </c>
      <c r="T51" s="5" t="n">
        <v>1143.92</v>
      </c>
    </row>
    <row r="52" customFormat="false" ht="15" hidden="false" customHeight="false" outlineLevel="0" collapsed="false">
      <c r="A52" s="2" t="s">
        <v>76</v>
      </c>
      <c r="B52" s="2" t="s">
        <v>64</v>
      </c>
      <c r="C52" s="2" t="s">
        <v>188</v>
      </c>
      <c r="D52" s="2" t="n">
        <v>8</v>
      </c>
      <c r="E52" s="2" t="s">
        <v>208</v>
      </c>
      <c r="F52" s="4" t="n">
        <v>54.67</v>
      </c>
      <c r="G52" s="4" t="n">
        <v>15367.25</v>
      </c>
      <c r="H52" s="4" t="n">
        <v>5.86</v>
      </c>
      <c r="I52" s="4" t="n">
        <v>58.49</v>
      </c>
      <c r="J52" s="2" t="s">
        <v>209</v>
      </c>
      <c r="K52" s="2" t="n">
        <v>11.65</v>
      </c>
      <c r="L52" s="4" t="n">
        <v>6.53</v>
      </c>
      <c r="M52" s="2" t="n">
        <v>25.54</v>
      </c>
      <c r="N52" s="2" t="n">
        <v>0.04</v>
      </c>
      <c r="O52" s="2" t="n">
        <v>0.02</v>
      </c>
      <c r="P52" s="2" t="n">
        <v>31.85</v>
      </c>
      <c r="Q52" s="2" t="n">
        <v>61.2</v>
      </c>
      <c r="R52" s="2" t="n">
        <v>71.25</v>
      </c>
      <c r="S52" s="2" t="n">
        <v>4.55</v>
      </c>
      <c r="T52" s="5" t="n">
        <v>1143.92</v>
      </c>
    </row>
    <row r="53" customFormat="false" ht="15" hidden="false" customHeight="false" outlineLevel="0" collapsed="false">
      <c r="A53" s="2" t="s">
        <v>77</v>
      </c>
      <c r="B53" s="2" t="s">
        <v>64</v>
      </c>
      <c r="C53" s="2" t="s">
        <v>188</v>
      </c>
      <c r="D53" s="2" t="n">
        <v>10</v>
      </c>
      <c r="E53" s="2" t="s">
        <v>208</v>
      </c>
      <c r="F53" s="4" t="n">
        <v>54.67</v>
      </c>
      <c r="G53" s="4" t="n">
        <v>15367.25</v>
      </c>
      <c r="H53" s="4" t="n">
        <v>5.86</v>
      </c>
      <c r="I53" s="4" t="n">
        <v>58.49</v>
      </c>
      <c r="J53" s="2" t="s">
        <v>209</v>
      </c>
      <c r="K53" s="2" t="n">
        <v>11.65</v>
      </c>
      <c r="L53" s="4" t="n">
        <v>6.53</v>
      </c>
      <c r="M53" s="2" t="n">
        <v>25.54</v>
      </c>
      <c r="N53" s="2" t="n">
        <v>0.04</v>
      </c>
      <c r="O53" s="2" t="n">
        <v>0.02</v>
      </c>
      <c r="P53" s="2" t="n">
        <v>31.85</v>
      </c>
      <c r="Q53" s="2" t="n">
        <v>61.2</v>
      </c>
      <c r="R53" s="2" t="n">
        <v>71.25</v>
      </c>
      <c r="S53" s="2" t="n">
        <v>4.55</v>
      </c>
      <c r="T53" s="5" t="n">
        <v>1143.92</v>
      </c>
    </row>
    <row r="54" customFormat="false" ht="15" hidden="false" customHeight="false" outlineLevel="0" collapsed="false">
      <c r="A54" s="2" t="s">
        <v>78</v>
      </c>
      <c r="B54" s="2" t="s">
        <v>79</v>
      </c>
      <c r="C54" s="2" t="s">
        <v>187</v>
      </c>
      <c r="D54" s="2" t="n">
        <v>1</v>
      </c>
      <c r="E54" s="2" t="s">
        <v>206</v>
      </c>
      <c r="F54" s="4" t="n">
        <v>897.29</v>
      </c>
      <c r="G54" s="4" t="n">
        <v>104751.26</v>
      </c>
      <c r="H54" s="4" t="n">
        <v>9.86</v>
      </c>
      <c r="I54" s="4" t="n">
        <v>73.57</v>
      </c>
      <c r="J54" s="2" t="s">
        <v>207</v>
      </c>
      <c r="K54" s="2" t="n">
        <v>28.69</v>
      </c>
      <c r="L54" s="4" t="n">
        <v>8.32</v>
      </c>
      <c r="M54" s="2" t="n">
        <v>25.72</v>
      </c>
      <c r="N54" s="2" t="n">
        <v>0.08</v>
      </c>
      <c r="O54" s="2" t="n">
        <v>0.04</v>
      </c>
      <c r="P54" s="2" t="n">
        <v>29.55</v>
      </c>
      <c r="Q54" s="2" t="n">
        <v>85.68</v>
      </c>
      <c r="R54" s="2" t="n">
        <v>47.5</v>
      </c>
      <c r="S54" s="2" t="n">
        <v>1.5</v>
      </c>
      <c r="T54" s="5" t="n">
        <v>1714.54</v>
      </c>
    </row>
    <row r="55" customFormat="false" ht="15" hidden="false" customHeight="false" outlineLevel="0" collapsed="false">
      <c r="A55" s="2" t="s">
        <v>80</v>
      </c>
      <c r="B55" s="2" t="s">
        <v>79</v>
      </c>
      <c r="C55" s="2" t="s">
        <v>187</v>
      </c>
      <c r="D55" s="2" t="n">
        <v>2</v>
      </c>
      <c r="E55" s="2" t="s">
        <v>206</v>
      </c>
      <c r="F55" s="4" t="n">
        <v>897.29</v>
      </c>
      <c r="G55" s="4" t="n">
        <v>104751.26</v>
      </c>
      <c r="H55" s="4" t="n">
        <v>9.86</v>
      </c>
      <c r="I55" s="4" t="n">
        <v>73.57</v>
      </c>
      <c r="J55" s="2" t="s">
        <v>207</v>
      </c>
      <c r="K55" s="2" t="n">
        <v>28.69</v>
      </c>
      <c r="L55" s="4" t="n">
        <v>8.32</v>
      </c>
      <c r="M55" s="2" t="n">
        <v>25.72</v>
      </c>
      <c r="N55" s="2" t="n">
        <v>0.08</v>
      </c>
      <c r="O55" s="2" t="n">
        <v>0.04</v>
      </c>
      <c r="P55" s="2" t="n">
        <v>29.55</v>
      </c>
      <c r="Q55" s="2" t="n">
        <v>85.68</v>
      </c>
      <c r="R55" s="2" t="n">
        <v>47.5</v>
      </c>
      <c r="S55" s="2" t="n">
        <v>1.5</v>
      </c>
      <c r="T55" s="5" t="n">
        <v>1714.54</v>
      </c>
    </row>
    <row r="56" customFormat="false" ht="15" hidden="false" customHeight="false" outlineLevel="0" collapsed="false">
      <c r="A56" s="2" t="s">
        <v>81</v>
      </c>
      <c r="B56" s="2" t="s">
        <v>79</v>
      </c>
      <c r="C56" s="2" t="s">
        <v>187</v>
      </c>
      <c r="D56" s="2" t="n">
        <v>3</v>
      </c>
      <c r="E56" s="2" t="s">
        <v>206</v>
      </c>
      <c r="F56" s="4" t="n">
        <v>897.29</v>
      </c>
      <c r="G56" s="4" t="n">
        <v>104751.26</v>
      </c>
      <c r="H56" s="4" t="n">
        <v>9.86</v>
      </c>
      <c r="I56" s="4" t="n">
        <v>73.57</v>
      </c>
      <c r="J56" s="2" t="s">
        <v>207</v>
      </c>
      <c r="K56" s="2" t="n">
        <v>28.69</v>
      </c>
      <c r="L56" s="4" t="n">
        <v>8.32</v>
      </c>
      <c r="M56" s="2" t="n">
        <v>25.72</v>
      </c>
      <c r="N56" s="2" t="n">
        <v>0.08</v>
      </c>
      <c r="O56" s="2" t="n">
        <v>0.04</v>
      </c>
      <c r="P56" s="2" t="n">
        <v>29.55</v>
      </c>
      <c r="Q56" s="2" t="n">
        <v>85.68</v>
      </c>
      <c r="R56" s="2" t="n">
        <v>47.5</v>
      </c>
      <c r="S56" s="2" t="n">
        <v>1.5</v>
      </c>
      <c r="T56" s="5" t="n">
        <v>1714.54</v>
      </c>
    </row>
    <row r="57" customFormat="false" ht="15" hidden="false" customHeight="false" outlineLevel="0" collapsed="false">
      <c r="A57" s="2" t="s">
        <v>82</v>
      </c>
      <c r="B57" s="2" t="s">
        <v>79</v>
      </c>
      <c r="C57" s="2" t="s">
        <v>187</v>
      </c>
      <c r="D57" s="2" t="n">
        <v>4</v>
      </c>
      <c r="E57" s="2" t="s">
        <v>206</v>
      </c>
      <c r="F57" s="4" t="n">
        <v>897.29</v>
      </c>
      <c r="G57" s="4" t="n">
        <v>104751.26</v>
      </c>
      <c r="H57" s="4" t="n">
        <v>9.86</v>
      </c>
      <c r="I57" s="4" t="n">
        <v>73.57</v>
      </c>
      <c r="J57" s="2" t="s">
        <v>207</v>
      </c>
      <c r="K57" s="2" t="n">
        <v>28.69</v>
      </c>
      <c r="L57" s="4" t="n">
        <v>8.32</v>
      </c>
      <c r="M57" s="2" t="n">
        <v>25.72</v>
      </c>
      <c r="N57" s="2" t="n">
        <v>0.08</v>
      </c>
      <c r="O57" s="2" t="n">
        <v>0.04</v>
      </c>
      <c r="P57" s="2" t="n">
        <v>29.55</v>
      </c>
      <c r="Q57" s="2" t="n">
        <v>85.68</v>
      </c>
      <c r="R57" s="2" t="n">
        <v>47.5</v>
      </c>
      <c r="S57" s="2" t="n">
        <v>1.5</v>
      </c>
      <c r="T57" s="5" t="n">
        <v>1714.54</v>
      </c>
    </row>
    <row r="58" customFormat="false" ht="15" hidden="false" customHeight="false" outlineLevel="0" collapsed="false">
      <c r="A58" s="2" t="s">
        <v>83</v>
      </c>
      <c r="B58" s="2" t="s">
        <v>79</v>
      </c>
      <c r="C58" s="2" t="s">
        <v>187</v>
      </c>
      <c r="D58" s="2" t="n">
        <v>5</v>
      </c>
      <c r="E58" s="2" t="s">
        <v>206</v>
      </c>
      <c r="F58" s="4" t="n">
        <v>897.29</v>
      </c>
      <c r="G58" s="4" t="n">
        <v>104751.26</v>
      </c>
      <c r="H58" s="4" t="n">
        <v>9.86</v>
      </c>
      <c r="I58" s="4" t="n">
        <v>73.57</v>
      </c>
      <c r="J58" s="2" t="s">
        <v>207</v>
      </c>
      <c r="K58" s="2" t="n">
        <v>28.69</v>
      </c>
      <c r="L58" s="4" t="n">
        <v>8.32</v>
      </c>
      <c r="M58" s="2" t="n">
        <v>25.72</v>
      </c>
      <c r="N58" s="2" t="n">
        <v>0.08</v>
      </c>
      <c r="O58" s="2" t="n">
        <v>0.04</v>
      </c>
      <c r="P58" s="2" t="n">
        <v>29.55</v>
      </c>
      <c r="Q58" s="2" t="n">
        <v>85.68</v>
      </c>
      <c r="R58" s="2" t="n">
        <v>47.5</v>
      </c>
      <c r="S58" s="2" t="n">
        <v>1.5</v>
      </c>
      <c r="T58" s="5" t="n">
        <v>1714.54</v>
      </c>
    </row>
    <row r="59" customFormat="false" ht="15" hidden="false" customHeight="false" outlineLevel="0" collapsed="false">
      <c r="A59" s="2" t="s">
        <v>84</v>
      </c>
      <c r="B59" s="2" t="s">
        <v>79</v>
      </c>
      <c r="C59" s="2" t="s">
        <v>187</v>
      </c>
      <c r="D59" s="2" t="n">
        <v>6</v>
      </c>
      <c r="E59" s="2" t="s">
        <v>208</v>
      </c>
      <c r="F59" s="4" t="n">
        <v>897.29</v>
      </c>
      <c r="G59" s="4" t="n">
        <v>104751.26</v>
      </c>
      <c r="H59" s="4" t="n">
        <v>9.86</v>
      </c>
      <c r="I59" s="4" t="n">
        <v>73.57</v>
      </c>
      <c r="J59" s="2" t="s">
        <v>207</v>
      </c>
      <c r="K59" s="2" t="n">
        <v>28.69</v>
      </c>
      <c r="L59" s="4" t="n">
        <v>8.32</v>
      </c>
      <c r="M59" s="2" t="n">
        <v>25.72</v>
      </c>
      <c r="N59" s="2" t="n">
        <v>0.08</v>
      </c>
      <c r="O59" s="2" t="n">
        <v>0.04</v>
      </c>
      <c r="P59" s="2" t="n">
        <v>29.55</v>
      </c>
      <c r="Q59" s="2" t="n">
        <v>85.68</v>
      </c>
      <c r="R59" s="2" t="n">
        <v>47.5</v>
      </c>
      <c r="S59" s="2" t="n">
        <v>1.5</v>
      </c>
      <c r="T59" s="5" t="n">
        <v>1714.54</v>
      </c>
    </row>
    <row r="60" customFormat="false" ht="15" hidden="false" customHeight="false" outlineLevel="0" collapsed="false">
      <c r="A60" s="2" t="s">
        <v>85</v>
      </c>
      <c r="B60" s="2" t="s">
        <v>79</v>
      </c>
      <c r="C60" s="2" t="s">
        <v>187</v>
      </c>
      <c r="D60" s="2" t="n">
        <v>7</v>
      </c>
      <c r="E60" s="2" t="s">
        <v>208</v>
      </c>
      <c r="F60" s="4" t="n">
        <v>897.29</v>
      </c>
      <c r="G60" s="4" t="n">
        <v>104751.26</v>
      </c>
      <c r="H60" s="4" t="n">
        <v>9.86</v>
      </c>
      <c r="I60" s="4" t="n">
        <v>73.57</v>
      </c>
      <c r="J60" s="2" t="s">
        <v>207</v>
      </c>
      <c r="K60" s="2" t="n">
        <v>28.69</v>
      </c>
      <c r="L60" s="4" t="n">
        <v>8.32</v>
      </c>
      <c r="M60" s="2" t="n">
        <v>25.72</v>
      </c>
      <c r="N60" s="2" t="n">
        <v>0.08</v>
      </c>
      <c r="O60" s="2" t="n">
        <v>0.04</v>
      </c>
      <c r="P60" s="2" t="n">
        <v>29.55</v>
      </c>
      <c r="Q60" s="2" t="n">
        <v>85.68</v>
      </c>
      <c r="R60" s="2" t="n">
        <v>47.5</v>
      </c>
      <c r="S60" s="2" t="n">
        <v>1.5</v>
      </c>
      <c r="T60" s="5" t="n">
        <v>1714.54</v>
      </c>
    </row>
    <row r="61" customFormat="false" ht="15" hidden="false" customHeight="false" outlineLevel="0" collapsed="false">
      <c r="A61" s="2" t="s">
        <v>86</v>
      </c>
      <c r="B61" s="2" t="s">
        <v>79</v>
      </c>
      <c r="C61" s="2" t="s">
        <v>187</v>
      </c>
      <c r="D61" s="2" t="n">
        <v>8</v>
      </c>
      <c r="E61" s="2" t="s">
        <v>208</v>
      </c>
      <c r="F61" s="4" t="n">
        <v>897.29</v>
      </c>
      <c r="G61" s="4" t="n">
        <v>104751.26</v>
      </c>
      <c r="H61" s="4" t="n">
        <v>9.86</v>
      </c>
      <c r="I61" s="4" t="n">
        <v>73.57</v>
      </c>
      <c r="J61" s="2" t="s">
        <v>207</v>
      </c>
      <c r="K61" s="2" t="n">
        <v>28.69</v>
      </c>
      <c r="L61" s="4" t="n">
        <v>8.32</v>
      </c>
      <c r="M61" s="2" t="n">
        <v>25.72</v>
      </c>
      <c r="N61" s="2" t="n">
        <v>0.08</v>
      </c>
      <c r="O61" s="2" t="n">
        <v>0.04</v>
      </c>
      <c r="P61" s="2" t="n">
        <v>29.55</v>
      </c>
      <c r="Q61" s="2" t="n">
        <v>85.68</v>
      </c>
      <c r="R61" s="2" t="n">
        <v>47.5</v>
      </c>
      <c r="S61" s="2" t="n">
        <v>1.5</v>
      </c>
      <c r="T61" s="5" t="n">
        <v>1714.54</v>
      </c>
    </row>
    <row r="62" customFormat="false" ht="15" hidden="false" customHeight="false" outlineLevel="0" collapsed="false">
      <c r="A62" s="2" t="s">
        <v>87</v>
      </c>
      <c r="B62" s="2" t="s">
        <v>79</v>
      </c>
      <c r="C62" s="2" t="s">
        <v>187</v>
      </c>
      <c r="D62" s="2" t="n">
        <v>9</v>
      </c>
      <c r="E62" s="2" t="s">
        <v>208</v>
      </c>
      <c r="F62" s="4" t="n">
        <v>897.29</v>
      </c>
      <c r="G62" s="4" t="n">
        <v>104751.26</v>
      </c>
      <c r="H62" s="4" t="n">
        <v>9.86</v>
      </c>
      <c r="I62" s="4" t="n">
        <v>73.57</v>
      </c>
      <c r="J62" s="2" t="s">
        <v>207</v>
      </c>
      <c r="K62" s="2" t="n">
        <v>28.69</v>
      </c>
      <c r="L62" s="4" t="n">
        <v>8.32</v>
      </c>
      <c r="M62" s="2" t="n">
        <v>25.72</v>
      </c>
      <c r="N62" s="2" t="n">
        <v>0.08</v>
      </c>
      <c r="O62" s="2" t="n">
        <v>0.04</v>
      </c>
      <c r="P62" s="2" t="n">
        <v>29.55</v>
      </c>
      <c r="Q62" s="2" t="n">
        <v>85.68</v>
      </c>
      <c r="R62" s="2" t="n">
        <v>47.5</v>
      </c>
      <c r="S62" s="2" t="n">
        <v>1.5</v>
      </c>
      <c r="T62" s="5" t="n">
        <v>1714.54</v>
      </c>
    </row>
    <row r="63" customFormat="false" ht="15" hidden="false" customHeight="false" outlineLevel="0" collapsed="false">
      <c r="A63" s="2" t="s">
        <v>88</v>
      </c>
      <c r="B63" s="2" t="s">
        <v>79</v>
      </c>
      <c r="C63" s="2" t="s">
        <v>187</v>
      </c>
      <c r="D63" s="2" t="n">
        <v>10</v>
      </c>
      <c r="E63" s="2" t="s">
        <v>208</v>
      </c>
      <c r="F63" s="4" t="n">
        <v>897.29</v>
      </c>
      <c r="G63" s="4" t="n">
        <v>104751.26</v>
      </c>
      <c r="H63" s="4" t="n">
        <v>9.86</v>
      </c>
      <c r="I63" s="4" t="n">
        <v>73.57</v>
      </c>
      <c r="J63" s="2" t="s">
        <v>207</v>
      </c>
      <c r="K63" s="2" t="n">
        <v>28.69</v>
      </c>
      <c r="L63" s="4" t="n">
        <v>8.32</v>
      </c>
      <c r="M63" s="2" t="n">
        <v>25.72</v>
      </c>
      <c r="N63" s="2" t="n">
        <v>0.08</v>
      </c>
      <c r="O63" s="2" t="n">
        <v>0.04</v>
      </c>
      <c r="P63" s="2" t="n">
        <v>29.55</v>
      </c>
      <c r="Q63" s="2" t="n">
        <v>85.68</v>
      </c>
      <c r="R63" s="2" t="n">
        <v>47.5</v>
      </c>
      <c r="S63" s="2" t="n">
        <v>1.5</v>
      </c>
      <c r="T63" s="5" t="n">
        <v>1714.54</v>
      </c>
    </row>
    <row r="64" customFormat="false" ht="15" hidden="false" customHeight="false" outlineLevel="0" collapsed="false">
      <c r="A64" s="2" t="s">
        <v>89</v>
      </c>
      <c r="B64" s="2" t="s">
        <v>79</v>
      </c>
      <c r="C64" s="2" t="s">
        <v>188</v>
      </c>
      <c r="D64" s="2" t="n">
        <v>1</v>
      </c>
      <c r="E64" s="2" t="s">
        <v>206</v>
      </c>
      <c r="F64" s="4" t="n">
        <v>897.29</v>
      </c>
      <c r="G64" s="4" t="n">
        <v>104751.26</v>
      </c>
      <c r="H64" s="4" t="n">
        <v>9.86</v>
      </c>
      <c r="I64" s="4" t="n">
        <v>65.77</v>
      </c>
      <c r="J64" s="2" t="s">
        <v>207</v>
      </c>
      <c r="K64" s="2" t="n">
        <v>10.8</v>
      </c>
      <c r="L64" s="4" t="n">
        <v>6.77</v>
      </c>
      <c r="M64" s="2" t="n">
        <v>25.02</v>
      </c>
      <c r="N64" s="2" t="n">
        <v>0.04</v>
      </c>
      <c r="O64" s="2" t="n">
        <v>0.02</v>
      </c>
      <c r="P64" s="2" t="n">
        <v>29.23</v>
      </c>
      <c r="Q64" s="2" t="n">
        <v>70.85</v>
      </c>
      <c r="R64" s="2" t="n">
        <v>75.75</v>
      </c>
      <c r="S64" s="2" t="n">
        <v>2.75</v>
      </c>
      <c r="T64" s="5" t="n">
        <v>2639.18</v>
      </c>
    </row>
    <row r="65" customFormat="false" ht="15" hidden="false" customHeight="false" outlineLevel="0" collapsed="false">
      <c r="A65" s="2" t="s">
        <v>90</v>
      </c>
      <c r="B65" s="2" t="s">
        <v>79</v>
      </c>
      <c r="C65" s="2" t="s">
        <v>188</v>
      </c>
      <c r="D65" s="2" t="n">
        <v>2</v>
      </c>
      <c r="E65" s="2" t="s">
        <v>206</v>
      </c>
      <c r="F65" s="4" t="n">
        <v>897.29</v>
      </c>
      <c r="G65" s="4" t="n">
        <v>104751.26</v>
      </c>
      <c r="H65" s="4" t="n">
        <v>9.86</v>
      </c>
      <c r="I65" s="4" t="n">
        <v>65.77</v>
      </c>
      <c r="J65" s="2" t="s">
        <v>207</v>
      </c>
      <c r="K65" s="2" t="n">
        <v>10.8</v>
      </c>
      <c r="L65" s="4" t="n">
        <v>6.77</v>
      </c>
      <c r="M65" s="2" t="n">
        <v>25.02</v>
      </c>
      <c r="N65" s="2" t="n">
        <v>0.04</v>
      </c>
      <c r="O65" s="2" t="n">
        <v>0.02</v>
      </c>
      <c r="P65" s="2" t="n">
        <v>29.23</v>
      </c>
      <c r="Q65" s="2" t="n">
        <v>70.85</v>
      </c>
      <c r="R65" s="2" t="n">
        <v>75.75</v>
      </c>
      <c r="S65" s="2" t="n">
        <v>2.75</v>
      </c>
      <c r="T65" s="5" t="n">
        <v>2639.18</v>
      </c>
    </row>
    <row r="66" customFormat="false" ht="15" hidden="false" customHeight="false" outlineLevel="0" collapsed="false">
      <c r="A66" s="2" t="s">
        <v>91</v>
      </c>
      <c r="B66" s="2" t="s">
        <v>79</v>
      </c>
      <c r="C66" s="2" t="s">
        <v>188</v>
      </c>
      <c r="D66" s="2" t="n">
        <v>3</v>
      </c>
      <c r="E66" s="2" t="s">
        <v>206</v>
      </c>
      <c r="F66" s="4" t="n">
        <v>897.29</v>
      </c>
      <c r="G66" s="4" t="n">
        <v>104751.26</v>
      </c>
      <c r="H66" s="4" t="n">
        <v>9.86</v>
      </c>
      <c r="I66" s="4" t="n">
        <v>65.77</v>
      </c>
      <c r="J66" s="2" t="s">
        <v>207</v>
      </c>
      <c r="K66" s="2" t="n">
        <v>10.8</v>
      </c>
      <c r="L66" s="4" t="n">
        <v>6.77</v>
      </c>
      <c r="M66" s="2" t="n">
        <v>25.02</v>
      </c>
      <c r="N66" s="2" t="n">
        <v>0.04</v>
      </c>
      <c r="O66" s="2" t="n">
        <v>0.02</v>
      </c>
      <c r="P66" s="2" t="n">
        <v>29.23</v>
      </c>
      <c r="Q66" s="2" t="n">
        <v>70.85</v>
      </c>
      <c r="R66" s="2" t="n">
        <v>75.75</v>
      </c>
      <c r="S66" s="2" t="n">
        <v>2.75</v>
      </c>
      <c r="T66" s="5" t="n">
        <v>2639.18</v>
      </c>
    </row>
    <row r="67" customFormat="false" ht="15" hidden="false" customHeight="false" outlineLevel="0" collapsed="false">
      <c r="A67" s="2" t="s">
        <v>92</v>
      </c>
      <c r="B67" s="2" t="s">
        <v>79</v>
      </c>
      <c r="C67" s="2" t="s">
        <v>188</v>
      </c>
      <c r="D67" s="2" t="n">
        <v>4</v>
      </c>
      <c r="E67" s="2" t="s">
        <v>206</v>
      </c>
      <c r="F67" s="4" t="n">
        <v>897.29</v>
      </c>
      <c r="G67" s="4" t="n">
        <v>104751.26</v>
      </c>
      <c r="H67" s="4" t="n">
        <v>9.86</v>
      </c>
      <c r="I67" s="4" t="n">
        <v>65.77</v>
      </c>
      <c r="J67" s="2" t="s">
        <v>207</v>
      </c>
      <c r="K67" s="2" t="n">
        <v>10.8</v>
      </c>
      <c r="L67" s="4" t="n">
        <v>6.77</v>
      </c>
      <c r="M67" s="2" t="n">
        <v>25.02</v>
      </c>
      <c r="N67" s="2" t="n">
        <v>0.04</v>
      </c>
      <c r="O67" s="2" t="n">
        <v>0.02</v>
      </c>
      <c r="P67" s="2" t="n">
        <v>29.23</v>
      </c>
      <c r="Q67" s="2" t="n">
        <v>70.85</v>
      </c>
      <c r="R67" s="2" t="n">
        <v>75.75</v>
      </c>
      <c r="S67" s="2" t="n">
        <v>2.75</v>
      </c>
      <c r="T67" s="5" t="n">
        <v>2639.18</v>
      </c>
    </row>
    <row r="68" customFormat="false" ht="15" hidden="false" customHeight="false" outlineLevel="0" collapsed="false">
      <c r="A68" s="2" t="s">
        <v>93</v>
      </c>
      <c r="B68" s="2" t="s">
        <v>79</v>
      </c>
      <c r="C68" s="2" t="s">
        <v>188</v>
      </c>
      <c r="D68" s="2" t="n">
        <v>5</v>
      </c>
      <c r="E68" s="2" t="s">
        <v>206</v>
      </c>
      <c r="F68" s="4" t="n">
        <v>897.29</v>
      </c>
      <c r="G68" s="4" t="n">
        <v>104751.26</v>
      </c>
      <c r="H68" s="4" t="n">
        <v>9.86</v>
      </c>
      <c r="I68" s="4" t="n">
        <v>65.77</v>
      </c>
      <c r="J68" s="2" t="s">
        <v>207</v>
      </c>
      <c r="K68" s="2" t="n">
        <v>10.8</v>
      </c>
      <c r="L68" s="4" t="n">
        <v>6.77</v>
      </c>
      <c r="M68" s="2" t="n">
        <v>25.02</v>
      </c>
      <c r="N68" s="2" t="n">
        <v>0.04</v>
      </c>
      <c r="O68" s="2" t="n">
        <v>0.02</v>
      </c>
      <c r="P68" s="2" t="n">
        <v>29.23</v>
      </c>
      <c r="Q68" s="2" t="n">
        <v>70.85</v>
      </c>
      <c r="R68" s="2" t="n">
        <v>75.75</v>
      </c>
      <c r="S68" s="2" t="n">
        <v>2.75</v>
      </c>
      <c r="T68" s="5" t="n">
        <v>2639.18</v>
      </c>
    </row>
    <row r="69" customFormat="false" ht="15" hidden="false" customHeight="false" outlineLevel="0" collapsed="false">
      <c r="A69" s="2" t="s">
        <v>94</v>
      </c>
      <c r="B69" s="2" t="s">
        <v>79</v>
      </c>
      <c r="C69" s="2" t="s">
        <v>188</v>
      </c>
      <c r="D69" s="2" t="n">
        <v>6</v>
      </c>
      <c r="E69" s="2" t="s">
        <v>208</v>
      </c>
      <c r="F69" s="4" t="n">
        <v>897.29</v>
      </c>
      <c r="G69" s="4" t="n">
        <v>104751.26</v>
      </c>
      <c r="H69" s="4" t="n">
        <v>9.86</v>
      </c>
      <c r="I69" s="4" t="n">
        <v>65.77</v>
      </c>
      <c r="J69" s="2" t="s">
        <v>207</v>
      </c>
      <c r="K69" s="2" t="n">
        <v>10.8</v>
      </c>
      <c r="L69" s="4" t="n">
        <v>6.77</v>
      </c>
      <c r="M69" s="2" t="n">
        <v>25.02</v>
      </c>
      <c r="N69" s="2" t="n">
        <v>0.04</v>
      </c>
      <c r="O69" s="2" t="n">
        <v>0.02</v>
      </c>
      <c r="P69" s="2" t="n">
        <v>29.23</v>
      </c>
      <c r="Q69" s="2" t="n">
        <v>70.85</v>
      </c>
      <c r="R69" s="2" t="n">
        <v>75.75</v>
      </c>
      <c r="S69" s="2" t="n">
        <v>2.75</v>
      </c>
      <c r="T69" s="5" t="n">
        <v>2639.18</v>
      </c>
    </row>
    <row r="70" customFormat="false" ht="15" hidden="false" customHeight="false" outlineLevel="0" collapsed="false">
      <c r="A70" s="2" t="s">
        <v>95</v>
      </c>
      <c r="B70" s="2" t="s">
        <v>79</v>
      </c>
      <c r="C70" s="2" t="s">
        <v>188</v>
      </c>
      <c r="D70" s="2" t="n">
        <v>7</v>
      </c>
      <c r="E70" s="2" t="s">
        <v>208</v>
      </c>
      <c r="F70" s="4" t="n">
        <v>897.29</v>
      </c>
      <c r="G70" s="4" t="n">
        <v>104751.26</v>
      </c>
      <c r="H70" s="4" t="n">
        <v>9.86</v>
      </c>
      <c r="I70" s="4" t="n">
        <v>65.77</v>
      </c>
      <c r="J70" s="2" t="s">
        <v>207</v>
      </c>
      <c r="K70" s="2" t="n">
        <v>10.8</v>
      </c>
      <c r="L70" s="4" t="n">
        <v>6.77</v>
      </c>
      <c r="M70" s="2" t="n">
        <v>25.02</v>
      </c>
      <c r="N70" s="2" t="n">
        <v>0.04</v>
      </c>
      <c r="O70" s="2" t="n">
        <v>0.02</v>
      </c>
      <c r="P70" s="2" t="n">
        <v>29.23</v>
      </c>
      <c r="Q70" s="2" t="n">
        <v>70.85</v>
      </c>
      <c r="R70" s="2" t="n">
        <v>75.75</v>
      </c>
      <c r="S70" s="2" t="n">
        <v>2.75</v>
      </c>
      <c r="T70" s="5" t="n">
        <v>2639.18</v>
      </c>
    </row>
    <row r="71" customFormat="false" ht="15" hidden="false" customHeight="false" outlineLevel="0" collapsed="false">
      <c r="A71" s="2" t="s">
        <v>96</v>
      </c>
      <c r="B71" s="2" t="s">
        <v>79</v>
      </c>
      <c r="C71" s="2" t="s">
        <v>188</v>
      </c>
      <c r="D71" s="2" t="n">
        <v>8</v>
      </c>
      <c r="E71" s="2" t="s">
        <v>208</v>
      </c>
      <c r="F71" s="4" t="n">
        <v>897.29</v>
      </c>
      <c r="G71" s="4" t="n">
        <v>104751.26</v>
      </c>
      <c r="H71" s="4" t="n">
        <v>9.86</v>
      </c>
      <c r="I71" s="4" t="n">
        <v>65.77</v>
      </c>
      <c r="J71" s="2" t="s">
        <v>207</v>
      </c>
      <c r="K71" s="2" t="n">
        <v>10.8</v>
      </c>
      <c r="L71" s="4" t="n">
        <v>6.77</v>
      </c>
      <c r="M71" s="2" t="n">
        <v>25.02</v>
      </c>
      <c r="N71" s="2" t="n">
        <v>0.04</v>
      </c>
      <c r="O71" s="2" t="n">
        <v>0.02</v>
      </c>
      <c r="P71" s="2" t="n">
        <v>29.23</v>
      </c>
      <c r="Q71" s="2" t="n">
        <v>70.85</v>
      </c>
      <c r="R71" s="2" t="n">
        <v>75.75</v>
      </c>
      <c r="S71" s="2" t="n">
        <v>2.75</v>
      </c>
      <c r="T71" s="5" t="n">
        <v>2639.18</v>
      </c>
    </row>
    <row r="72" customFormat="false" ht="15" hidden="false" customHeight="false" outlineLevel="0" collapsed="false">
      <c r="A72" s="2" t="s">
        <v>97</v>
      </c>
      <c r="B72" s="2" t="s">
        <v>79</v>
      </c>
      <c r="C72" s="2" t="s">
        <v>188</v>
      </c>
      <c r="D72" s="2" t="n">
        <v>9</v>
      </c>
      <c r="E72" s="2" t="s">
        <v>208</v>
      </c>
      <c r="F72" s="4" t="n">
        <v>897.29</v>
      </c>
      <c r="G72" s="4" t="n">
        <v>104751.26</v>
      </c>
      <c r="H72" s="4" t="n">
        <v>9.86</v>
      </c>
      <c r="I72" s="4" t="n">
        <v>65.77</v>
      </c>
      <c r="J72" s="2" t="s">
        <v>207</v>
      </c>
      <c r="K72" s="2" t="n">
        <v>10.8</v>
      </c>
      <c r="L72" s="4" t="n">
        <v>6.77</v>
      </c>
      <c r="M72" s="2" t="n">
        <v>25.02</v>
      </c>
      <c r="N72" s="2" t="n">
        <v>0.04</v>
      </c>
      <c r="O72" s="2" t="n">
        <v>0.02</v>
      </c>
      <c r="P72" s="2" t="n">
        <v>29.23</v>
      </c>
      <c r="Q72" s="2" t="n">
        <v>70.85</v>
      </c>
      <c r="R72" s="2" t="n">
        <v>75.75</v>
      </c>
      <c r="S72" s="2" t="n">
        <v>2.75</v>
      </c>
      <c r="T72" s="5" t="n">
        <v>2639.18</v>
      </c>
    </row>
    <row r="73" customFormat="false" ht="15" hidden="false" customHeight="false" outlineLevel="0" collapsed="false">
      <c r="A73" s="2" t="s">
        <v>98</v>
      </c>
      <c r="B73" s="2" t="s">
        <v>79</v>
      </c>
      <c r="C73" s="2" t="s">
        <v>188</v>
      </c>
      <c r="D73" s="2" t="n">
        <v>10</v>
      </c>
      <c r="E73" s="2" t="s">
        <v>208</v>
      </c>
      <c r="F73" s="4" t="n">
        <v>897.29</v>
      </c>
      <c r="G73" s="4" t="n">
        <v>104751.26</v>
      </c>
      <c r="H73" s="4" t="n">
        <v>9.86</v>
      </c>
      <c r="I73" s="4" t="n">
        <v>65.77</v>
      </c>
      <c r="J73" s="2" t="s">
        <v>207</v>
      </c>
      <c r="K73" s="2" t="n">
        <v>10.8</v>
      </c>
      <c r="L73" s="4" t="n">
        <v>6.77</v>
      </c>
      <c r="M73" s="2" t="n">
        <v>25.02</v>
      </c>
      <c r="N73" s="2" t="n">
        <v>0.04</v>
      </c>
      <c r="O73" s="2" t="n">
        <v>0.02</v>
      </c>
      <c r="P73" s="2" t="n">
        <v>29.23</v>
      </c>
      <c r="Q73" s="2" t="n">
        <v>70.85</v>
      </c>
      <c r="R73" s="2" t="n">
        <v>75.75</v>
      </c>
      <c r="S73" s="2" t="n">
        <v>2.75</v>
      </c>
      <c r="T73" s="5" t="n">
        <v>2639.18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3"/>
  </cols>
  <sheetData>
    <row r="1" customFormat="false" ht="45" hidden="false" customHeight="true" outlineLevel="0" collapsed="false">
      <c r="A1" s="1" t="s">
        <v>100</v>
      </c>
      <c r="B1" s="1" t="s">
        <v>210</v>
      </c>
      <c r="C1" s="1" t="s">
        <v>211</v>
      </c>
      <c r="D1" s="1" t="s">
        <v>212</v>
      </c>
      <c r="E1" s="1" t="s">
        <v>213</v>
      </c>
    </row>
    <row r="2" customFormat="false" ht="15" hidden="false" customHeight="false" outlineLevel="0" collapsed="false">
      <c r="A2" s="2" t="s">
        <v>2</v>
      </c>
      <c r="B2" s="2" t="n">
        <v>286</v>
      </c>
      <c r="C2" s="2" t="n">
        <v>263</v>
      </c>
      <c r="D2" s="2" t="n">
        <v>23</v>
      </c>
      <c r="E2" s="6" t="n">
        <v>0.089</v>
      </c>
    </row>
    <row r="3" customFormat="false" ht="15" hidden="false" customHeight="false" outlineLevel="0" collapsed="false">
      <c r="A3" s="2" t="s">
        <v>3</v>
      </c>
      <c r="B3" s="2" t="n">
        <v>1557</v>
      </c>
      <c r="C3" s="2" t="n">
        <v>1435</v>
      </c>
      <c r="D3" s="2" t="n">
        <v>122</v>
      </c>
      <c r="E3" s="6" t="n">
        <v>0.087</v>
      </c>
    </row>
    <row r="4" customFormat="false" ht="15" hidden="false" customHeight="false" outlineLevel="0" collapsed="false">
      <c r="A4" s="2" t="s">
        <v>4</v>
      </c>
      <c r="B4" s="2" t="n">
        <v>2986</v>
      </c>
      <c r="C4" s="2" t="n">
        <v>2949</v>
      </c>
      <c r="D4" s="2" t="n">
        <v>37</v>
      </c>
      <c r="E4" s="6" t="n">
        <v>0.014</v>
      </c>
    </row>
    <row r="5" customFormat="false" ht="15" hidden="false" customHeight="false" outlineLevel="0" collapsed="false">
      <c r="A5" s="2" t="s">
        <v>5</v>
      </c>
      <c r="B5" s="2" t="n">
        <v>134</v>
      </c>
      <c r="C5" s="2" t="n">
        <v>127</v>
      </c>
      <c r="D5" s="2" t="n">
        <v>7</v>
      </c>
      <c r="E5" s="6" t="n">
        <v>0.058</v>
      </c>
    </row>
    <row r="6" customFormat="false" ht="15" hidden="false" customHeight="false" outlineLevel="0" collapsed="false">
      <c r="A6" s="2" t="s">
        <v>6</v>
      </c>
      <c r="B6" s="2" t="n">
        <v>342</v>
      </c>
      <c r="C6" s="2" t="n">
        <v>77</v>
      </c>
      <c r="D6" s="2" t="n">
        <v>265</v>
      </c>
      <c r="E6" s="6" t="n">
        <v>0.794</v>
      </c>
    </row>
    <row r="7" customFormat="false" ht="15" hidden="false" customHeight="false" outlineLevel="0" collapsed="false">
      <c r="A7" s="2" t="s">
        <v>7</v>
      </c>
      <c r="B7" s="2" t="n">
        <v>151</v>
      </c>
      <c r="C7" s="2" t="n">
        <v>110</v>
      </c>
      <c r="D7" s="2" t="n">
        <v>41</v>
      </c>
      <c r="E7" s="6" t="n">
        <v>0.294</v>
      </c>
    </row>
    <row r="8" customFormat="false" ht="15" hidden="false" customHeight="false" outlineLevel="0" collapsed="false">
      <c r="A8" s="2" t="s">
        <v>8</v>
      </c>
      <c r="B8" s="2" t="n">
        <v>113</v>
      </c>
      <c r="C8" s="2" t="n">
        <v>89</v>
      </c>
      <c r="D8" s="2" t="n">
        <v>24</v>
      </c>
      <c r="E8" s="6" t="n">
        <v>0.232</v>
      </c>
    </row>
    <row r="9" customFormat="false" ht="15" hidden="false" customHeight="false" outlineLevel="0" collapsed="false">
      <c r="A9" s="2" t="s">
        <v>9</v>
      </c>
      <c r="B9" s="2" t="n">
        <v>5</v>
      </c>
      <c r="C9" s="2" t="n">
        <v>5</v>
      </c>
      <c r="D9" s="2" t="n">
        <v>0</v>
      </c>
      <c r="E9" s="6" t="n">
        <v>0</v>
      </c>
    </row>
    <row r="10" customFormat="false" ht="15" hidden="false" customHeight="false" outlineLevel="0" collapsed="false">
      <c r="A10" s="2" t="s">
        <v>10</v>
      </c>
      <c r="B10" s="2" t="n">
        <v>5</v>
      </c>
      <c r="C10" s="2" t="n">
        <v>1</v>
      </c>
      <c r="D10" s="2" t="n">
        <v>4</v>
      </c>
      <c r="E10" s="6" t="n">
        <v>0.817</v>
      </c>
    </row>
    <row r="11" customFormat="false" ht="15" hidden="false" customHeight="false" outlineLevel="0" collapsed="false">
      <c r="A11" s="2" t="s">
        <v>11</v>
      </c>
      <c r="B11" s="2" t="n">
        <v>105</v>
      </c>
      <c r="C11" s="2" t="n">
        <v>83</v>
      </c>
      <c r="D11" s="2" t="n">
        <v>22</v>
      </c>
      <c r="E11" s="6" t="n">
        <v>0.229</v>
      </c>
    </row>
    <row r="12" customFormat="false" ht="15" hidden="false" customHeight="false" outlineLevel="0" collapsed="false">
      <c r="A12" s="2" t="s">
        <v>12</v>
      </c>
      <c r="B12" s="2" t="n">
        <v>20</v>
      </c>
      <c r="C12" s="2" t="n">
        <v>18</v>
      </c>
      <c r="D12" s="2" t="n">
        <v>2</v>
      </c>
      <c r="E12" s="6" t="n">
        <v>0.11</v>
      </c>
    </row>
    <row r="13" customFormat="false" ht="15" hidden="false" customHeight="false" outlineLevel="0" collapsed="false">
      <c r="A13" s="2" t="s">
        <v>13</v>
      </c>
      <c r="B13" s="2" t="n">
        <v>49</v>
      </c>
      <c r="C13" s="2" t="n">
        <v>49</v>
      </c>
      <c r="D13" s="2" t="n">
        <v>0</v>
      </c>
      <c r="E13" s="6" t="n">
        <v>0</v>
      </c>
    </row>
    <row r="14" customFormat="false" ht="15" hidden="false" customHeight="false" outlineLevel="0" collapsed="false">
      <c r="A14" s="2" t="s">
        <v>14</v>
      </c>
      <c r="B14" s="2" t="n">
        <v>51</v>
      </c>
      <c r="C14" s="2" t="n">
        <v>51</v>
      </c>
      <c r="D14" s="2" t="n">
        <v>0</v>
      </c>
      <c r="E14" s="6" t="n">
        <v>0</v>
      </c>
    </row>
    <row r="15" customFormat="false" ht="15" hidden="false" customHeight="false" outlineLevel="0" collapsed="false">
      <c r="A15" s="2" t="s">
        <v>15</v>
      </c>
      <c r="B15" s="2" t="n">
        <v>37</v>
      </c>
      <c r="C15" s="2" t="n">
        <v>37</v>
      </c>
      <c r="D15" s="2" t="n">
        <v>0</v>
      </c>
      <c r="E15" s="6" t="n">
        <v>0</v>
      </c>
    </row>
    <row r="16" customFormat="false" ht="15" hidden="false" customHeight="false" outlineLevel="0" collapsed="false">
      <c r="A16" s="2" t="s">
        <v>16</v>
      </c>
      <c r="B16" s="2" t="n">
        <v>17</v>
      </c>
      <c r="C16" s="2" t="n">
        <v>17</v>
      </c>
      <c r="D16" s="2" t="n">
        <v>0</v>
      </c>
      <c r="E16" s="6" t="n">
        <v>0</v>
      </c>
    </row>
    <row r="17" customFormat="false" ht="15" hidden="false" customHeight="false" outlineLevel="0" collapsed="false">
      <c r="A17" s="2" t="s">
        <v>17</v>
      </c>
      <c r="B17" s="2" t="n">
        <v>84</v>
      </c>
      <c r="C17" s="2" t="n">
        <v>81</v>
      </c>
      <c r="D17" s="2" t="n">
        <v>3</v>
      </c>
      <c r="E17" s="6" t="n">
        <v>0.04</v>
      </c>
    </row>
    <row r="18" customFormat="false" ht="15" hidden="false" customHeight="false" outlineLevel="0" collapsed="false">
      <c r="A18" s="2" t="s">
        <v>18</v>
      </c>
      <c r="B18" s="2" t="n">
        <v>411</v>
      </c>
      <c r="C18" s="2" t="n">
        <v>408</v>
      </c>
      <c r="D18" s="2" t="n">
        <v>3</v>
      </c>
      <c r="E18" s="6" t="n">
        <v>0.008</v>
      </c>
    </row>
    <row r="19" customFormat="false" ht="15" hidden="false" customHeight="false" outlineLevel="0" collapsed="false">
      <c r="A19" s="2" t="s">
        <v>19</v>
      </c>
      <c r="B19" s="2" t="n">
        <v>141</v>
      </c>
      <c r="C19" s="2" t="n">
        <v>139</v>
      </c>
      <c r="D19" s="2" t="n">
        <v>2</v>
      </c>
      <c r="E19" s="6" t="n">
        <v>0.016</v>
      </c>
    </row>
    <row r="20" customFormat="false" ht="15" hidden="false" customHeight="false" outlineLevel="0" collapsed="false">
      <c r="A20" s="2" t="s">
        <v>20</v>
      </c>
      <c r="B20" s="2" t="n">
        <v>7</v>
      </c>
      <c r="C20" s="2" t="n">
        <v>7</v>
      </c>
      <c r="D20" s="2" t="n">
        <v>0</v>
      </c>
      <c r="E20" s="6" t="n">
        <v>0</v>
      </c>
    </row>
    <row r="21" customFormat="false" ht="15" hidden="false" customHeight="false" outlineLevel="0" collapsed="false">
      <c r="A21" s="2" t="s">
        <v>21</v>
      </c>
      <c r="B21" s="2" t="n">
        <v>1</v>
      </c>
      <c r="C21" s="2" t="n">
        <v>1</v>
      </c>
      <c r="D21" s="2" t="n">
        <v>0</v>
      </c>
      <c r="E21" s="6" t="n">
        <v>0</v>
      </c>
    </row>
    <row r="22" customFormat="false" ht="15" hidden="false" customHeight="false" outlineLevel="0" collapsed="false">
      <c r="A22" s="2" t="s">
        <v>22</v>
      </c>
      <c r="B22" s="2" t="n">
        <v>1437</v>
      </c>
      <c r="C22" s="2" t="n">
        <v>1207</v>
      </c>
      <c r="D22" s="2" t="n">
        <v>230</v>
      </c>
      <c r="E22" s="6" t="n">
        <v>0.176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23" min="3" style="0" width="13"/>
  </cols>
  <sheetData>
    <row r="1" customFormat="false" ht="5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214</v>
      </c>
      <c r="B2" s="2" t="s">
        <v>24</v>
      </c>
      <c r="C2" s="2" t="n">
        <v>58</v>
      </c>
      <c r="D2" s="2" t="n">
        <v>87</v>
      </c>
      <c r="E2" s="2" t="n">
        <v>0</v>
      </c>
      <c r="F2" s="2" t="n">
        <v>5</v>
      </c>
      <c r="G2" s="2" t="n">
        <v>261</v>
      </c>
      <c r="H2" s="2" t="n">
        <v>2</v>
      </c>
      <c r="I2" s="2" t="n">
        <v>49</v>
      </c>
      <c r="J2" s="2" t="n">
        <v>0</v>
      </c>
      <c r="K2" s="2" t="n">
        <v>0</v>
      </c>
      <c r="L2" s="2" t="n">
        <v>2</v>
      </c>
      <c r="M2" s="2" t="n">
        <v>2</v>
      </c>
      <c r="N2" s="2" t="n">
        <v>0</v>
      </c>
      <c r="O2" s="2" t="n">
        <v>2</v>
      </c>
      <c r="P2" s="2" t="n">
        <v>0</v>
      </c>
      <c r="Q2" s="2" t="n">
        <v>12</v>
      </c>
      <c r="R2" s="2" t="n">
        <v>58</v>
      </c>
      <c r="S2" s="2" t="n">
        <v>34</v>
      </c>
      <c r="T2" s="2" t="n">
        <v>28</v>
      </c>
      <c r="U2" s="2" t="n">
        <v>0</v>
      </c>
      <c r="V2" s="2" t="n">
        <v>0</v>
      </c>
      <c r="W2" s="2" t="n">
        <v>93</v>
      </c>
    </row>
    <row r="3" customFormat="false" ht="15" hidden="false" customHeight="false" outlineLevel="0" collapsed="false">
      <c r="A3" s="2" t="s">
        <v>215</v>
      </c>
      <c r="B3" s="2" t="s">
        <v>24</v>
      </c>
      <c r="C3" s="2" t="n">
        <v>26</v>
      </c>
      <c r="D3" s="2" t="n">
        <v>612</v>
      </c>
      <c r="E3" s="2" t="n">
        <v>0</v>
      </c>
      <c r="F3" s="2" t="n">
        <v>100</v>
      </c>
      <c r="G3" s="2" t="n">
        <v>52</v>
      </c>
      <c r="H3" s="2" t="n">
        <v>14</v>
      </c>
      <c r="I3" s="2" t="n">
        <v>14</v>
      </c>
      <c r="J3" s="2" t="n">
        <v>5</v>
      </c>
      <c r="K3" s="2" t="n">
        <v>0</v>
      </c>
      <c r="L3" s="2" t="n">
        <v>0</v>
      </c>
      <c r="M3" s="2" t="n">
        <v>0</v>
      </c>
      <c r="N3" s="2" t="n">
        <v>16</v>
      </c>
      <c r="O3" s="2" t="n">
        <v>19</v>
      </c>
      <c r="P3" s="2" t="n">
        <v>1</v>
      </c>
      <c r="Q3" s="2" t="n">
        <v>0</v>
      </c>
      <c r="R3" s="2" t="n">
        <v>15</v>
      </c>
      <c r="S3" s="2" t="n">
        <v>17</v>
      </c>
      <c r="T3" s="2" t="n">
        <v>3</v>
      </c>
      <c r="U3" s="2" t="n">
        <v>0</v>
      </c>
      <c r="V3" s="2" t="n">
        <v>1</v>
      </c>
      <c r="W3" s="2" t="n">
        <v>74</v>
      </c>
    </row>
    <row r="4" customFormat="false" ht="15" hidden="false" customHeight="false" outlineLevel="0" collapsed="false">
      <c r="A4" s="2" t="s">
        <v>216</v>
      </c>
      <c r="B4" s="2" t="s">
        <v>45</v>
      </c>
      <c r="C4" s="2" t="n">
        <v>172</v>
      </c>
      <c r="D4" s="2" t="n">
        <v>3</v>
      </c>
      <c r="E4" s="2" t="n">
        <v>0</v>
      </c>
      <c r="F4" s="2" t="n">
        <v>3</v>
      </c>
      <c r="G4" s="2" t="n">
        <v>5</v>
      </c>
      <c r="H4" s="2" t="n">
        <v>89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11</v>
      </c>
      <c r="N4" s="2" t="n">
        <v>5</v>
      </c>
      <c r="O4" s="2" t="n">
        <v>5</v>
      </c>
      <c r="P4" s="2" t="n">
        <v>0</v>
      </c>
      <c r="Q4" s="2" t="n">
        <v>2</v>
      </c>
      <c r="R4" s="2" t="n">
        <v>4</v>
      </c>
      <c r="S4" s="2" t="n">
        <v>137</v>
      </c>
      <c r="T4" s="2" t="n">
        <v>2</v>
      </c>
      <c r="U4" s="2" t="n">
        <v>4</v>
      </c>
      <c r="V4" s="2" t="n">
        <v>0</v>
      </c>
      <c r="W4" s="2" t="n">
        <v>31</v>
      </c>
    </row>
    <row r="5" customFormat="false" ht="15" hidden="false" customHeight="false" outlineLevel="0" collapsed="false">
      <c r="A5" s="2" t="s">
        <v>217</v>
      </c>
      <c r="B5" s="2" t="s">
        <v>45</v>
      </c>
      <c r="C5" s="2" t="n">
        <v>9</v>
      </c>
      <c r="D5" s="2" t="n">
        <v>79</v>
      </c>
      <c r="E5" s="2" t="n">
        <v>0</v>
      </c>
      <c r="F5" s="2" t="n">
        <v>6</v>
      </c>
      <c r="G5" s="2" t="n">
        <v>21</v>
      </c>
      <c r="H5" s="2" t="n">
        <v>12</v>
      </c>
      <c r="I5" s="2" t="n">
        <v>1</v>
      </c>
      <c r="J5" s="2" t="n">
        <v>0</v>
      </c>
      <c r="K5" s="2" t="n">
        <v>0</v>
      </c>
      <c r="L5" s="2" t="n">
        <v>2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7</v>
      </c>
      <c r="T5" s="2" t="n">
        <v>1</v>
      </c>
      <c r="U5" s="2" t="n">
        <v>0</v>
      </c>
      <c r="V5" s="2" t="n">
        <v>0</v>
      </c>
      <c r="W5" s="2" t="n">
        <v>63</v>
      </c>
    </row>
    <row r="6" customFormat="false" ht="15" hidden="false" customHeight="false" outlineLevel="0" collapsed="false">
      <c r="A6" s="2" t="s">
        <v>218</v>
      </c>
      <c r="B6" s="2" t="s">
        <v>64</v>
      </c>
      <c r="C6" s="2" t="n">
        <v>0</v>
      </c>
      <c r="D6" s="2" t="n">
        <v>0</v>
      </c>
      <c r="E6" s="2" t="n">
        <v>5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3</v>
      </c>
      <c r="R6" s="2" t="n">
        <v>1</v>
      </c>
      <c r="S6" s="2" t="n">
        <v>10</v>
      </c>
      <c r="T6" s="2" t="n">
        <v>2</v>
      </c>
      <c r="U6" s="2" t="n">
        <v>0</v>
      </c>
      <c r="V6" s="2" t="n">
        <v>0</v>
      </c>
      <c r="W6" s="2" t="n">
        <v>17</v>
      </c>
    </row>
    <row r="7" customFormat="false" ht="15" hidden="false" customHeight="false" outlineLevel="0" collapsed="false">
      <c r="A7" s="2" t="s">
        <v>219</v>
      </c>
      <c r="B7" s="2" t="s">
        <v>64</v>
      </c>
      <c r="C7" s="2" t="n">
        <v>3</v>
      </c>
      <c r="D7" s="2" t="n">
        <v>0</v>
      </c>
      <c r="E7" s="2" t="n">
        <v>5</v>
      </c>
      <c r="F7" s="2" t="n">
        <v>14</v>
      </c>
      <c r="G7" s="2" t="n">
        <v>1</v>
      </c>
      <c r="H7" s="2" t="n">
        <v>8</v>
      </c>
      <c r="I7" s="2" t="n">
        <v>2</v>
      </c>
      <c r="J7" s="2" t="n">
        <v>0</v>
      </c>
      <c r="K7" s="2" t="n">
        <v>3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55</v>
      </c>
      <c r="T7" s="2" t="n">
        <v>1</v>
      </c>
      <c r="U7" s="2" t="n">
        <v>0</v>
      </c>
      <c r="V7" s="2" t="n">
        <v>0</v>
      </c>
      <c r="W7" s="2" t="n">
        <v>4</v>
      </c>
    </row>
    <row r="8" customFormat="false" ht="15" hidden="false" customHeight="false" outlineLevel="0" collapsed="false">
      <c r="A8" s="2" t="s">
        <v>220</v>
      </c>
      <c r="B8" s="2" t="s">
        <v>79</v>
      </c>
      <c r="C8" s="2" t="n">
        <v>8</v>
      </c>
      <c r="D8" s="2" t="n">
        <v>26</v>
      </c>
      <c r="E8" s="2" t="n">
        <v>755</v>
      </c>
      <c r="F8" s="2" t="n">
        <v>0</v>
      </c>
      <c r="G8" s="2" t="n">
        <v>0</v>
      </c>
      <c r="H8" s="2" t="n">
        <v>3</v>
      </c>
      <c r="I8" s="2" t="n">
        <v>6</v>
      </c>
      <c r="J8" s="2" t="n">
        <v>0</v>
      </c>
      <c r="K8" s="2" t="n">
        <v>2</v>
      </c>
      <c r="L8" s="2" t="n">
        <v>74</v>
      </c>
      <c r="M8" s="2" t="n">
        <v>7</v>
      </c>
      <c r="N8" s="2" t="n">
        <v>1</v>
      </c>
      <c r="O8" s="2" t="n">
        <v>0</v>
      </c>
      <c r="P8" s="2" t="n">
        <v>14</v>
      </c>
      <c r="Q8" s="2" t="n">
        <v>0</v>
      </c>
      <c r="R8" s="2" t="n">
        <v>6</v>
      </c>
      <c r="S8" s="2" t="n">
        <v>107</v>
      </c>
      <c r="T8" s="2" t="n">
        <v>33</v>
      </c>
      <c r="U8" s="2" t="n">
        <v>1</v>
      </c>
      <c r="V8" s="2" t="n">
        <v>0</v>
      </c>
      <c r="W8" s="2" t="n">
        <v>297</v>
      </c>
    </row>
    <row r="9" customFormat="false" ht="15" hidden="false" customHeight="false" outlineLevel="0" collapsed="false">
      <c r="A9" s="2" t="s">
        <v>221</v>
      </c>
      <c r="B9" s="2" t="s">
        <v>79</v>
      </c>
      <c r="C9" s="2" t="n">
        <v>10</v>
      </c>
      <c r="D9" s="2" t="n">
        <v>750</v>
      </c>
      <c r="E9" s="2" t="n">
        <v>2221</v>
      </c>
      <c r="F9" s="2" t="n">
        <v>5</v>
      </c>
      <c r="G9" s="2" t="n">
        <v>2</v>
      </c>
      <c r="H9" s="2" t="n">
        <v>23</v>
      </c>
      <c r="I9" s="2" t="n">
        <v>41</v>
      </c>
      <c r="J9" s="2" t="n">
        <v>0</v>
      </c>
      <c r="K9" s="2" t="n">
        <v>0</v>
      </c>
      <c r="L9" s="2" t="n">
        <v>25</v>
      </c>
      <c r="M9" s="2" t="n">
        <v>0</v>
      </c>
      <c r="N9" s="2" t="n">
        <v>26</v>
      </c>
      <c r="O9" s="2" t="n">
        <v>24</v>
      </c>
      <c r="P9" s="2" t="n">
        <v>22</v>
      </c>
      <c r="Q9" s="2" t="n">
        <v>0</v>
      </c>
      <c r="R9" s="2" t="n">
        <v>0</v>
      </c>
      <c r="S9" s="2" t="n">
        <v>44</v>
      </c>
      <c r="T9" s="2" t="n">
        <v>71</v>
      </c>
      <c r="U9" s="2" t="n">
        <v>2</v>
      </c>
      <c r="V9" s="2" t="n">
        <v>0</v>
      </c>
      <c r="W9" s="2" t="n">
        <v>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13" min="4" style="0" width="13"/>
  </cols>
  <sheetData>
    <row r="1" customFormat="false" ht="45" hidden="false" customHeight="true" outlineLevel="0" collapsed="false">
      <c r="A1" s="1" t="s">
        <v>180</v>
      </c>
      <c r="B1" s="1" t="s">
        <v>181</v>
      </c>
      <c r="C1" s="1" t="s">
        <v>222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</row>
    <row r="2" customFormat="false" ht="15" hidden="false" customHeight="false" outlineLevel="0" collapsed="false">
      <c r="A2" s="2" t="s">
        <v>24</v>
      </c>
      <c r="B2" s="2" t="s">
        <v>187</v>
      </c>
      <c r="C2" s="2" t="n">
        <v>1</v>
      </c>
      <c r="D2" s="2" t="n">
        <v>58.75</v>
      </c>
      <c r="E2" s="2" t="n">
        <v>8.17</v>
      </c>
      <c r="F2" s="2" t="n">
        <v>25.57</v>
      </c>
      <c r="G2" s="2" t="n">
        <v>0.35</v>
      </c>
      <c r="H2" s="2" t="n">
        <v>0.16</v>
      </c>
      <c r="I2" s="2" t="n">
        <v>28.43</v>
      </c>
      <c r="J2" s="2" t="n">
        <v>87.33</v>
      </c>
      <c r="K2" s="2" t="n">
        <v>0</v>
      </c>
      <c r="L2" s="2" t="n">
        <v>0</v>
      </c>
      <c r="M2" s="2" t="n">
        <v>1748.67</v>
      </c>
    </row>
    <row r="3" customFormat="false" ht="15" hidden="false" customHeight="false" outlineLevel="0" collapsed="false">
      <c r="A3" s="2" t="s">
        <v>24</v>
      </c>
      <c r="B3" s="2" t="s">
        <v>187</v>
      </c>
      <c r="C3" s="2" t="n">
        <v>2</v>
      </c>
      <c r="D3" s="2" t="n">
        <v>50</v>
      </c>
      <c r="E3" s="2" t="n">
        <v>8.03</v>
      </c>
      <c r="F3" s="2" t="n">
        <v>26.07</v>
      </c>
      <c r="G3" s="2" t="n">
        <v>0.1</v>
      </c>
      <c r="H3" s="2" t="n">
        <v>0.05</v>
      </c>
      <c r="I3" s="2" t="n">
        <v>29.43</v>
      </c>
      <c r="J3" s="2" t="n">
        <v>83.67</v>
      </c>
      <c r="K3" s="2" t="n">
        <v>0</v>
      </c>
      <c r="L3" s="2" t="n">
        <v>0</v>
      </c>
      <c r="M3" s="2" t="n">
        <v>2195.5</v>
      </c>
    </row>
    <row r="4" customFormat="false" ht="15" hidden="false" customHeight="false" outlineLevel="0" collapsed="false">
      <c r="A4" s="2" t="s">
        <v>24</v>
      </c>
      <c r="B4" s="2" t="s">
        <v>187</v>
      </c>
      <c r="C4" s="2" t="n">
        <v>3</v>
      </c>
      <c r="D4" s="2" t="n">
        <v>39.61</v>
      </c>
      <c r="E4" s="2" t="n">
        <v>8.1</v>
      </c>
      <c r="F4" s="2" t="n">
        <v>25.93</v>
      </c>
      <c r="G4" s="2" t="n">
        <v>0.07</v>
      </c>
      <c r="H4" s="2" t="n">
        <v>0.03</v>
      </c>
      <c r="I4" s="2" t="n">
        <v>29.23</v>
      </c>
      <c r="J4" s="2" t="n">
        <v>82.67</v>
      </c>
      <c r="K4" s="2" t="n">
        <v>75</v>
      </c>
      <c r="L4" s="2" t="n">
        <v>1</v>
      </c>
      <c r="M4" s="2" t="n">
        <v>1190</v>
      </c>
    </row>
    <row r="5" customFormat="false" ht="15" hidden="false" customHeight="false" outlineLevel="0" collapsed="false">
      <c r="A5" s="2" t="s">
        <v>24</v>
      </c>
      <c r="B5" s="2" t="s">
        <v>187</v>
      </c>
      <c r="C5" s="2" t="n">
        <v>4</v>
      </c>
      <c r="D5" s="2" t="n">
        <v>48.33</v>
      </c>
      <c r="E5" s="2" t="n">
        <v>7.89</v>
      </c>
      <c r="F5" s="2" t="n">
        <v>26.17</v>
      </c>
      <c r="G5" s="2" t="n">
        <v>0.08</v>
      </c>
      <c r="H5" s="2" t="n">
        <v>0.04</v>
      </c>
      <c r="I5" s="2" t="n">
        <v>29.67</v>
      </c>
      <c r="J5" s="2" t="n">
        <v>80.67</v>
      </c>
      <c r="K5" s="2" t="n">
        <v>25</v>
      </c>
      <c r="L5" s="2" t="n">
        <v>1</v>
      </c>
      <c r="M5" s="2" t="n">
        <v>1370</v>
      </c>
    </row>
    <row r="6" customFormat="false" ht="15" hidden="false" customHeight="false" outlineLevel="0" collapsed="false">
      <c r="A6" s="2" t="s">
        <v>24</v>
      </c>
      <c r="B6" s="2" t="s">
        <v>187</v>
      </c>
      <c r="C6" s="2" t="n">
        <v>5</v>
      </c>
      <c r="D6" s="2" t="n">
        <v>63.77</v>
      </c>
      <c r="E6" s="2" t="n">
        <v>8.28</v>
      </c>
      <c r="F6" s="2" t="n">
        <v>26.17</v>
      </c>
      <c r="G6" s="2" t="n">
        <v>0.07</v>
      </c>
      <c r="H6" s="2" t="n">
        <v>0.03</v>
      </c>
      <c r="I6" s="2" t="n">
        <v>29.7</v>
      </c>
      <c r="J6" s="2" t="n">
        <v>79</v>
      </c>
      <c r="K6" s="2" t="n">
        <v>75</v>
      </c>
      <c r="L6" s="2" t="n">
        <v>1</v>
      </c>
      <c r="M6" s="2" t="n">
        <v>1872</v>
      </c>
    </row>
    <row r="7" customFormat="false" ht="15" hidden="false" customHeight="false" outlineLevel="0" collapsed="false">
      <c r="A7" s="2" t="s">
        <v>24</v>
      </c>
      <c r="B7" s="2" t="s">
        <v>187</v>
      </c>
      <c r="C7" s="2" t="n">
        <v>6</v>
      </c>
      <c r="D7" s="2" t="n">
        <v>60.79</v>
      </c>
      <c r="E7" s="2" t="n">
        <v>8.13</v>
      </c>
      <c r="F7" s="2" t="n">
        <v>27.07</v>
      </c>
      <c r="G7" s="2" t="n">
        <v>0.07</v>
      </c>
      <c r="H7" s="2" t="n">
        <v>0.03</v>
      </c>
      <c r="I7" s="2" t="n">
        <v>30.63</v>
      </c>
      <c r="J7" s="2" t="n">
        <v>76.67</v>
      </c>
      <c r="K7" s="2" t="n">
        <v>0</v>
      </c>
      <c r="L7" s="2" t="n">
        <v>0</v>
      </c>
      <c r="M7" s="2" t="n">
        <v>12963.33</v>
      </c>
    </row>
    <row r="8" customFormat="false" ht="15" hidden="false" customHeight="false" outlineLevel="0" collapsed="false">
      <c r="A8" s="2" t="s">
        <v>24</v>
      </c>
      <c r="B8" s="2" t="s">
        <v>187</v>
      </c>
      <c r="C8" s="2" t="n">
        <v>7</v>
      </c>
      <c r="D8" s="2" t="n">
        <v>42.73</v>
      </c>
      <c r="E8" s="2" t="n">
        <v>7.92</v>
      </c>
      <c r="F8" s="2" t="n">
        <v>26.97</v>
      </c>
      <c r="G8" s="2" t="n">
        <v>0.06</v>
      </c>
      <c r="H8" s="2" t="n">
        <v>0.03</v>
      </c>
      <c r="I8" s="2" t="n">
        <v>30.3</v>
      </c>
      <c r="J8" s="2" t="n">
        <v>77.33</v>
      </c>
      <c r="K8" s="2" t="n">
        <v>75</v>
      </c>
      <c r="L8" s="2" t="n">
        <v>1</v>
      </c>
      <c r="M8" s="2" t="n">
        <v>2683</v>
      </c>
    </row>
    <row r="9" customFormat="false" ht="15" hidden="false" customHeight="false" outlineLevel="0" collapsed="false">
      <c r="A9" s="2" t="s">
        <v>24</v>
      </c>
      <c r="B9" s="2" t="s">
        <v>187</v>
      </c>
      <c r="C9" s="2" t="n">
        <v>8</v>
      </c>
      <c r="D9" s="2" t="n">
        <v>57.58</v>
      </c>
      <c r="E9" s="2" t="n">
        <v>7.96</v>
      </c>
      <c r="F9" s="2" t="n">
        <v>26.13</v>
      </c>
      <c r="G9" s="2" t="n">
        <v>0.04</v>
      </c>
      <c r="H9" s="2" t="n">
        <v>0.02</v>
      </c>
      <c r="I9" s="2" t="n">
        <v>30.43</v>
      </c>
      <c r="J9" s="2" t="n">
        <v>78.67</v>
      </c>
      <c r="K9" s="2" t="n">
        <v>50</v>
      </c>
      <c r="L9" s="2" t="n">
        <v>1</v>
      </c>
      <c r="M9" s="2" t="n">
        <v>1337.33</v>
      </c>
    </row>
    <row r="10" customFormat="false" ht="15" hidden="false" customHeight="false" outlineLevel="0" collapsed="false">
      <c r="A10" s="2" t="s">
        <v>24</v>
      </c>
      <c r="B10" s="2" t="s">
        <v>187</v>
      </c>
      <c r="C10" s="2" t="n">
        <v>9</v>
      </c>
      <c r="D10" s="2" t="n">
        <v>74.75</v>
      </c>
      <c r="E10" s="2" t="n">
        <v>8.05</v>
      </c>
      <c r="F10" s="2" t="n">
        <v>26.4</v>
      </c>
      <c r="G10" s="2" t="n">
        <v>0.07</v>
      </c>
      <c r="H10" s="2" t="n">
        <v>0.03</v>
      </c>
      <c r="I10" s="2" t="n">
        <v>30.7</v>
      </c>
      <c r="J10" s="2" t="n">
        <v>76.67</v>
      </c>
      <c r="K10" s="2" t="n">
        <v>100</v>
      </c>
      <c r="L10" s="2" t="n">
        <v>1</v>
      </c>
      <c r="M10" s="2" t="n">
        <v>3480</v>
      </c>
    </row>
    <row r="11" customFormat="false" ht="15" hidden="false" customHeight="false" outlineLevel="0" collapsed="false">
      <c r="A11" s="2" t="s">
        <v>24</v>
      </c>
      <c r="B11" s="2" t="s">
        <v>187</v>
      </c>
      <c r="C11" s="2" t="n">
        <v>10</v>
      </c>
      <c r="D11" s="2" t="n">
        <v>28.42</v>
      </c>
      <c r="E11" s="2" t="n">
        <v>7.9</v>
      </c>
      <c r="F11" s="2" t="n">
        <v>25.87</v>
      </c>
      <c r="G11" s="2" t="n">
        <v>0.04</v>
      </c>
      <c r="H11" s="2" t="n">
        <v>0.02</v>
      </c>
      <c r="I11" s="2" t="n">
        <v>30.7</v>
      </c>
      <c r="J11" s="2" t="n">
        <v>77</v>
      </c>
      <c r="K11" s="2" t="n">
        <v>25</v>
      </c>
      <c r="L11" s="2" t="n">
        <v>2</v>
      </c>
      <c r="M11" s="2" t="n">
        <v>2573.33</v>
      </c>
    </row>
    <row r="12" customFormat="false" ht="15" hidden="false" customHeight="false" outlineLevel="0" collapsed="false">
      <c r="A12" s="2" t="s">
        <v>24</v>
      </c>
      <c r="B12" s="2" t="s">
        <v>187</v>
      </c>
      <c r="C12" s="2" t="n">
        <v>11</v>
      </c>
      <c r="D12" s="2" t="n">
        <v>35.43</v>
      </c>
      <c r="E12" s="2" t="n">
        <v>8.98</v>
      </c>
      <c r="F12" s="2" t="n">
        <v>24.97</v>
      </c>
      <c r="G12" s="2" t="n">
        <v>0.04</v>
      </c>
      <c r="H12" s="2" t="n">
        <v>0.02</v>
      </c>
      <c r="I12" s="2" t="n">
        <v>27.47</v>
      </c>
      <c r="J12" s="2" t="n">
        <v>87</v>
      </c>
      <c r="K12" s="2" t="n">
        <v>10</v>
      </c>
      <c r="L12" s="2" t="n">
        <v>2</v>
      </c>
      <c r="M12" s="2" t="n">
        <v>275</v>
      </c>
    </row>
    <row r="13" customFormat="false" ht="15" hidden="false" customHeight="false" outlineLevel="0" collapsed="false">
      <c r="A13" s="2" t="s">
        <v>24</v>
      </c>
      <c r="B13" s="2" t="s">
        <v>187</v>
      </c>
      <c r="C13" s="2" t="n">
        <v>12</v>
      </c>
      <c r="D13" s="2" t="n">
        <v>31.52</v>
      </c>
      <c r="E13" s="2" t="n">
        <v>9.22</v>
      </c>
      <c r="F13" s="2" t="n">
        <v>25.13</v>
      </c>
      <c r="G13" s="2" t="n">
        <v>0.05</v>
      </c>
      <c r="H13" s="2" t="n">
        <v>0.02</v>
      </c>
      <c r="I13" s="2" t="n">
        <v>27.5</v>
      </c>
      <c r="J13" s="2" t="n">
        <v>86.67</v>
      </c>
      <c r="K13" s="2" t="n">
        <v>0</v>
      </c>
      <c r="L13" s="2" t="n">
        <v>0</v>
      </c>
      <c r="M13" s="2" t="n">
        <v>868.67</v>
      </c>
    </row>
    <row r="14" customFormat="false" ht="15" hidden="false" customHeight="false" outlineLevel="0" collapsed="false">
      <c r="A14" s="2" t="s">
        <v>24</v>
      </c>
      <c r="B14" s="2" t="s">
        <v>187</v>
      </c>
      <c r="C14" s="2" t="n">
        <v>13</v>
      </c>
      <c r="D14" s="2" t="n">
        <v>52.22</v>
      </c>
      <c r="E14" s="2" t="n">
        <v>9.18</v>
      </c>
      <c r="F14" s="2" t="n">
        <v>25</v>
      </c>
      <c r="G14" s="2" t="n">
        <v>0.01</v>
      </c>
      <c r="H14" s="2" t="n">
        <v>0.01</v>
      </c>
      <c r="I14" s="2" t="n">
        <v>27.8</v>
      </c>
      <c r="J14" s="2" t="n">
        <v>88.67</v>
      </c>
      <c r="K14" s="2" t="n">
        <v>50</v>
      </c>
      <c r="L14" s="2" t="n">
        <v>2</v>
      </c>
      <c r="M14" s="2" t="n">
        <v>549.33</v>
      </c>
    </row>
    <row r="15" customFormat="false" ht="15" hidden="false" customHeight="false" outlineLevel="0" collapsed="false">
      <c r="A15" s="2" t="s">
        <v>24</v>
      </c>
      <c r="B15" s="2" t="s">
        <v>187</v>
      </c>
      <c r="C15" s="2" t="n">
        <v>14</v>
      </c>
      <c r="D15" s="2" t="n">
        <v>48.24</v>
      </c>
      <c r="E15" s="2" t="n">
        <v>9.16</v>
      </c>
      <c r="F15" s="2" t="n">
        <v>25.6</v>
      </c>
      <c r="G15" s="2" t="n">
        <v>0.05</v>
      </c>
      <c r="H15" s="2" t="n">
        <v>0.03</v>
      </c>
      <c r="I15" s="2" t="n">
        <v>28.57</v>
      </c>
      <c r="J15" s="2" t="n">
        <v>86.33</v>
      </c>
      <c r="K15" s="2" t="n">
        <v>15</v>
      </c>
      <c r="L15" s="2" t="n">
        <v>1</v>
      </c>
      <c r="M15" s="2" t="n">
        <v>1911</v>
      </c>
    </row>
    <row r="16" customFormat="false" ht="15" hidden="false" customHeight="false" outlineLevel="0" collapsed="false">
      <c r="A16" s="2" t="s">
        <v>24</v>
      </c>
      <c r="B16" s="2" t="s">
        <v>187</v>
      </c>
      <c r="C16" s="2" t="n">
        <v>15</v>
      </c>
      <c r="D16" s="2" t="n">
        <v>44.44</v>
      </c>
      <c r="E16" s="2" t="n">
        <v>9.22</v>
      </c>
      <c r="F16" s="2" t="n">
        <v>25.13</v>
      </c>
      <c r="G16" s="2" t="n">
        <v>0.02</v>
      </c>
      <c r="H16" s="2" t="n">
        <v>0.01</v>
      </c>
      <c r="I16" s="2" t="n">
        <v>28.6</v>
      </c>
      <c r="J16" s="2" t="n">
        <v>86</v>
      </c>
      <c r="K16" s="2" t="n">
        <v>70</v>
      </c>
      <c r="L16" s="2" t="n">
        <v>1</v>
      </c>
      <c r="M16" s="2" t="n">
        <v>469.67</v>
      </c>
    </row>
    <row r="17" customFormat="false" ht="15" hidden="false" customHeight="false" outlineLevel="0" collapsed="false">
      <c r="A17" s="2" t="s">
        <v>24</v>
      </c>
      <c r="B17" s="2" t="s">
        <v>187</v>
      </c>
      <c r="C17" s="2" t="n">
        <v>16</v>
      </c>
      <c r="D17" s="2" t="n">
        <v>23.89</v>
      </c>
      <c r="E17" s="2" t="n">
        <v>9.11</v>
      </c>
      <c r="F17" s="2" t="n">
        <v>26.9</v>
      </c>
      <c r="G17" s="2" t="n">
        <v>0.03</v>
      </c>
      <c r="H17" s="2" t="n">
        <v>0.01</v>
      </c>
      <c r="I17" s="2" t="n">
        <v>29.13</v>
      </c>
      <c r="J17" s="2" t="n">
        <v>85.33</v>
      </c>
      <c r="K17" s="2" t="n">
        <v>10</v>
      </c>
      <c r="L17" s="2" t="n">
        <v>2</v>
      </c>
      <c r="M17" s="2" t="n">
        <v>6160</v>
      </c>
    </row>
    <row r="18" customFormat="false" ht="15" hidden="false" customHeight="false" outlineLevel="0" collapsed="false">
      <c r="A18" s="2" t="s">
        <v>24</v>
      </c>
      <c r="B18" s="2" t="s">
        <v>187</v>
      </c>
      <c r="C18" s="2" t="n">
        <v>17</v>
      </c>
      <c r="D18" s="2" t="n">
        <v>49.29</v>
      </c>
      <c r="E18" s="2" t="n">
        <v>8.98</v>
      </c>
      <c r="F18" s="2" t="n">
        <v>25.53</v>
      </c>
      <c r="G18" s="2" t="n">
        <v>0.08</v>
      </c>
      <c r="H18" s="2" t="n">
        <v>0.04</v>
      </c>
      <c r="I18" s="2" t="n">
        <v>29.17</v>
      </c>
      <c r="J18" s="2" t="n">
        <v>81.67</v>
      </c>
      <c r="K18" s="2" t="n">
        <v>45</v>
      </c>
      <c r="L18" s="2" t="n">
        <v>2</v>
      </c>
      <c r="M18" s="2" t="n">
        <v>2641</v>
      </c>
    </row>
    <row r="19" customFormat="false" ht="15" hidden="false" customHeight="false" outlineLevel="0" collapsed="false">
      <c r="A19" s="2" t="s">
        <v>24</v>
      </c>
      <c r="B19" s="2" t="s">
        <v>187</v>
      </c>
      <c r="C19" s="2" t="n">
        <v>18</v>
      </c>
      <c r="D19" s="2" t="n">
        <v>78.95</v>
      </c>
      <c r="E19" s="2" t="n">
        <v>9.11</v>
      </c>
      <c r="F19" s="2" t="n">
        <v>25.33</v>
      </c>
      <c r="G19" s="2" t="n">
        <v>0.02</v>
      </c>
      <c r="H19" s="2" t="n">
        <v>0.01</v>
      </c>
      <c r="I19" s="2" t="n">
        <v>29</v>
      </c>
      <c r="J19" s="2" t="n">
        <v>83.67</v>
      </c>
      <c r="K19" s="2" t="n">
        <v>30</v>
      </c>
      <c r="L19" s="2" t="n">
        <v>1</v>
      </c>
      <c r="M19" s="2" t="n">
        <v>2704</v>
      </c>
    </row>
    <row r="20" customFormat="false" ht="15" hidden="false" customHeight="false" outlineLevel="0" collapsed="false">
      <c r="A20" s="2" t="s">
        <v>24</v>
      </c>
      <c r="B20" s="2" t="s">
        <v>187</v>
      </c>
      <c r="C20" s="2" t="n">
        <v>19</v>
      </c>
      <c r="D20" s="2" t="n">
        <v>116.67</v>
      </c>
      <c r="E20" s="2" t="n">
        <v>9.19</v>
      </c>
      <c r="F20" s="2" t="n">
        <v>25</v>
      </c>
      <c r="G20" s="2" t="n">
        <v>0.05</v>
      </c>
      <c r="H20" s="2" t="n">
        <v>0.03</v>
      </c>
      <c r="I20" s="2" t="n">
        <v>28.83</v>
      </c>
      <c r="J20" s="2" t="n">
        <v>84.67</v>
      </c>
      <c r="K20" s="2" t="n">
        <v>70</v>
      </c>
      <c r="L20" s="2" t="n">
        <v>3</v>
      </c>
      <c r="M20" s="2" t="n">
        <v>384.33</v>
      </c>
    </row>
    <row r="21" customFormat="false" ht="15" hidden="false" customHeight="false" outlineLevel="0" collapsed="false">
      <c r="A21" s="2" t="s">
        <v>24</v>
      </c>
      <c r="B21" s="2" t="s">
        <v>187</v>
      </c>
      <c r="C21" s="2" t="n">
        <v>20</v>
      </c>
      <c r="D21" s="2" t="n">
        <v>67.58</v>
      </c>
      <c r="E21" s="2" t="n">
        <v>9.13</v>
      </c>
      <c r="F21" s="2" t="n">
        <v>25.3</v>
      </c>
      <c r="G21" s="2" t="n">
        <v>0.07</v>
      </c>
      <c r="H21" s="2" t="n">
        <v>0.04</v>
      </c>
      <c r="I21" s="2" t="n">
        <v>28.8</v>
      </c>
      <c r="J21" s="2" t="n">
        <v>85.33</v>
      </c>
      <c r="K21" s="2" t="n">
        <v>0</v>
      </c>
      <c r="L21" s="2" t="n">
        <v>0</v>
      </c>
      <c r="M21" s="2" t="n">
        <v>2114.33</v>
      </c>
    </row>
    <row r="22" customFormat="false" ht="15" hidden="false" customHeight="false" outlineLevel="0" collapsed="false">
      <c r="A22" s="2" t="s">
        <v>24</v>
      </c>
      <c r="B22" s="2" t="s">
        <v>188</v>
      </c>
      <c r="C22" s="2" t="n">
        <v>1</v>
      </c>
      <c r="D22" s="2" t="n">
        <v>11.78</v>
      </c>
      <c r="E22" s="2" t="n">
        <v>7.05</v>
      </c>
      <c r="F22" s="2" t="n">
        <v>26.77</v>
      </c>
      <c r="G22" s="2" t="n">
        <v>0.06</v>
      </c>
      <c r="H22" s="2" t="n">
        <v>0.03</v>
      </c>
      <c r="I22" s="2" t="n">
        <v>28.6</v>
      </c>
      <c r="J22" s="2" t="n">
        <v>72.67</v>
      </c>
      <c r="K22" s="2" t="n">
        <v>40</v>
      </c>
      <c r="L22" s="2" t="n">
        <v>2</v>
      </c>
      <c r="M22" s="2" t="n">
        <v>743</v>
      </c>
    </row>
    <row r="23" customFormat="false" ht="15" hidden="false" customHeight="false" outlineLevel="0" collapsed="false">
      <c r="A23" s="2" t="s">
        <v>24</v>
      </c>
      <c r="B23" s="2" t="s">
        <v>188</v>
      </c>
      <c r="C23" s="2" t="n">
        <v>2</v>
      </c>
      <c r="D23" s="2" t="n">
        <v>12.56</v>
      </c>
      <c r="E23" s="2" t="n">
        <v>7.12</v>
      </c>
      <c r="F23" s="2" t="n">
        <v>26.47</v>
      </c>
      <c r="G23" s="2" t="n">
        <v>0.04</v>
      </c>
      <c r="H23" s="2" t="n">
        <v>0.01</v>
      </c>
      <c r="I23" s="2" t="n">
        <v>28.93</v>
      </c>
      <c r="J23" s="2" t="n">
        <v>72</v>
      </c>
      <c r="K23" s="2" t="n">
        <v>30</v>
      </c>
      <c r="L23" s="2" t="n">
        <v>2</v>
      </c>
      <c r="M23" s="2" t="n">
        <v>5351.67</v>
      </c>
    </row>
    <row r="24" customFormat="false" ht="15" hidden="false" customHeight="false" outlineLevel="0" collapsed="false">
      <c r="A24" s="2" t="s">
        <v>24</v>
      </c>
      <c r="B24" s="2" t="s">
        <v>188</v>
      </c>
      <c r="C24" s="2" t="n">
        <v>3</v>
      </c>
      <c r="D24" s="2" t="n">
        <v>15.67</v>
      </c>
      <c r="E24" s="2" t="n">
        <v>7.28</v>
      </c>
      <c r="F24" s="2" t="n">
        <v>26.37</v>
      </c>
      <c r="G24" s="2" t="n">
        <v>0.02</v>
      </c>
      <c r="H24" s="2" t="n">
        <v>0</v>
      </c>
      <c r="I24" s="2" t="n">
        <v>29.5</v>
      </c>
      <c r="J24" s="2" t="n">
        <v>73.67</v>
      </c>
      <c r="K24" s="2" t="n">
        <v>70</v>
      </c>
      <c r="L24" s="2" t="n">
        <v>3</v>
      </c>
      <c r="M24" s="2" t="n">
        <v>1759.67</v>
      </c>
    </row>
    <row r="25" customFormat="false" ht="15" hidden="false" customHeight="false" outlineLevel="0" collapsed="false">
      <c r="A25" s="2" t="s">
        <v>24</v>
      </c>
      <c r="B25" s="2" t="s">
        <v>188</v>
      </c>
      <c r="C25" s="2" t="n">
        <v>4</v>
      </c>
      <c r="D25" s="2" t="n">
        <v>9.62</v>
      </c>
      <c r="E25" s="2" t="n">
        <v>7.46</v>
      </c>
      <c r="F25" s="2" t="n">
        <v>26.87</v>
      </c>
      <c r="G25" s="2" t="n">
        <v>0.06</v>
      </c>
      <c r="H25" s="2" t="n">
        <v>0.03</v>
      </c>
      <c r="I25" s="2" t="n">
        <v>29.73</v>
      </c>
      <c r="J25" s="2" t="n">
        <v>71</v>
      </c>
      <c r="K25" s="2" t="n">
        <v>25</v>
      </c>
      <c r="L25" s="2" t="n">
        <v>2</v>
      </c>
      <c r="M25" s="2" t="n">
        <v>1244</v>
      </c>
    </row>
    <row r="26" customFormat="false" ht="15" hidden="false" customHeight="false" outlineLevel="0" collapsed="false">
      <c r="A26" s="2" t="s">
        <v>24</v>
      </c>
      <c r="B26" s="2" t="s">
        <v>188</v>
      </c>
      <c r="C26" s="2" t="n">
        <v>5</v>
      </c>
      <c r="D26" s="2" t="n">
        <v>12.45</v>
      </c>
      <c r="E26" s="2" t="n">
        <v>7.47</v>
      </c>
      <c r="F26" s="2" t="n">
        <v>28.77</v>
      </c>
      <c r="G26" s="2" t="n">
        <v>0.09</v>
      </c>
      <c r="H26" s="2" t="n">
        <v>0.03</v>
      </c>
      <c r="I26" s="2" t="n">
        <v>30.43</v>
      </c>
      <c r="J26" s="2" t="n">
        <v>69.33</v>
      </c>
      <c r="K26" s="2" t="n">
        <v>100</v>
      </c>
      <c r="L26" s="2" t="n">
        <v>4</v>
      </c>
      <c r="M26" s="2" t="n">
        <v>5183.33</v>
      </c>
    </row>
    <row r="27" customFormat="false" ht="15" hidden="false" customHeight="false" outlineLevel="0" collapsed="false">
      <c r="A27" s="2" t="s">
        <v>24</v>
      </c>
      <c r="B27" s="2" t="s">
        <v>188</v>
      </c>
      <c r="C27" s="2" t="n">
        <v>6</v>
      </c>
      <c r="D27" s="2" t="n">
        <v>17.35</v>
      </c>
      <c r="E27" s="2" t="n">
        <v>7.68</v>
      </c>
      <c r="F27" s="2" t="n">
        <v>26.2</v>
      </c>
      <c r="G27" s="2" t="n">
        <v>0.01</v>
      </c>
      <c r="H27" s="2" t="n">
        <v>0.01</v>
      </c>
      <c r="I27" s="2" t="n">
        <v>30.5</v>
      </c>
      <c r="J27" s="2" t="n">
        <v>68.33</v>
      </c>
      <c r="K27" s="2" t="n">
        <v>100</v>
      </c>
      <c r="L27" s="2" t="n">
        <v>5</v>
      </c>
      <c r="M27" s="2" t="n">
        <v>1427.33</v>
      </c>
    </row>
    <row r="28" customFormat="false" ht="15" hidden="false" customHeight="false" outlineLevel="0" collapsed="false">
      <c r="A28" s="2" t="s">
        <v>24</v>
      </c>
      <c r="B28" s="2" t="s">
        <v>188</v>
      </c>
      <c r="C28" s="2" t="n">
        <v>7</v>
      </c>
      <c r="D28" s="2" t="n">
        <v>7.41</v>
      </c>
      <c r="E28" s="2" t="n">
        <v>7.52</v>
      </c>
      <c r="F28" s="2" t="n">
        <v>30.47</v>
      </c>
      <c r="G28" s="2" t="n">
        <v>0.12</v>
      </c>
      <c r="H28" s="2" t="n">
        <v>0.06</v>
      </c>
      <c r="I28" s="2" t="n">
        <v>31.47</v>
      </c>
      <c r="J28" s="2" t="n">
        <v>63.67</v>
      </c>
      <c r="K28" s="2" t="n">
        <v>100</v>
      </c>
      <c r="L28" s="2" t="n">
        <v>3</v>
      </c>
      <c r="M28" s="2" t="n">
        <v>10976.67</v>
      </c>
    </row>
    <row r="29" customFormat="false" ht="15" hidden="false" customHeight="false" outlineLevel="0" collapsed="false">
      <c r="A29" s="2" t="s">
        <v>24</v>
      </c>
      <c r="B29" s="2" t="s">
        <v>188</v>
      </c>
      <c r="C29" s="2" t="n">
        <v>8</v>
      </c>
      <c r="D29" s="2" t="n">
        <v>19.57</v>
      </c>
      <c r="E29" s="2" t="n">
        <v>7.65</v>
      </c>
      <c r="F29" s="2" t="n">
        <v>28.67</v>
      </c>
      <c r="G29" s="2" t="n">
        <v>0.08</v>
      </c>
      <c r="H29" s="2" t="n">
        <v>0.04</v>
      </c>
      <c r="I29" s="2" t="n">
        <v>31.23</v>
      </c>
      <c r="J29" s="2" t="n">
        <v>65.33</v>
      </c>
      <c r="K29" s="2" t="n">
        <v>100</v>
      </c>
      <c r="L29" s="2" t="n">
        <v>4</v>
      </c>
      <c r="M29" s="2" t="n">
        <v>4740</v>
      </c>
    </row>
    <row r="30" customFormat="false" ht="15" hidden="false" customHeight="false" outlineLevel="0" collapsed="false">
      <c r="A30" s="2" t="s">
        <v>24</v>
      </c>
      <c r="B30" s="2" t="s">
        <v>188</v>
      </c>
      <c r="C30" s="2" t="n">
        <v>9</v>
      </c>
      <c r="D30" s="2" t="n">
        <v>14.62</v>
      </c>
      <c r="E30" s="2" t="n">
        <v>7.82</v>
      </c>
      <c r="F30" s="2" t="n">
        <v>27.43</v>
      </c>
      <c r="G30" s="2" t="n">
        <v>0.01</v>
      </c>
      <c r="H30" s="2" t="n">
        <v>0.01</v>
      </c>
      <c r="I30" s="2" t="n">
        <v>31.23</v>
      </c>
      <c r="J30" s="2" t="n">
        <v>65.67</v>
      </c>
      <c r="K30" s="2" t="n">
        <v>100</v>
      </c>
      <c r="L30" s="2" t="n">
        <v>3</v>
      </c>
      <c r="M30" s="2" t="n">
        <v>6890</v>
      </c>
    </row>
    <row r="31" customFormat="false" ht="15" hidden="false" customHeight="false" outlineLevel="0" collapsed="false">
      <c r="A31" s="2" t="s">
        <v>24</v>
      </c>
      <c r="B31" s="2" t="s">
        <v>188</v>
      </c>
      <c r="C31" s="2" t="n">
        <v>10</v>
      </c>
      <c r="D31" s="2" t="n">
        <v>16.22</v>
      </c>
      <c r="E31" s="2" t="n">
        <v>7.75</v>
      </c>
      <c r="F31" s="2" t="n">
        <v>26.7</v>
      </c>
      <c r="G31" s="2" t="n">
        <v>0.07</v>
      </c>
      <c r="H31" s="2" t="n">
        <v>0.04</v>
      </c>
      <c r="I31" s="2" t="n">
        <v>30.7</v>
      </c>
      <c r="J31" s="2" t="n">
        <v>64</v>
      </c>
      <c r="K31" s="2" t="n">
        <v>100</v>
      </c>
      <c r="L31" s="2" t="n">
        <v>4</v>
      </c>
      <c r="M31" s="2" t="n">
        <v>2971.33</v>
      </c>
    </row>
    <row r="32" customFormat="false" ht="15" hidden="false" customHeight="false" outlineLevel="0" collapsed="false">
      <c r="A32" s="2" t="s">
        <v>24</v>
      </c>
      <c r="B32" s="2" t="s">
        <v>188</v>
      </c>
      <c r="C32" s="2" t="n">
        <v>11</v>
      </c>
      <c r="D32" s="2" t="n">
        <v>7.62</v>
      </c>
      <c r="E32" s="2" t="n">
        <v>7.46</v>
      </c>
      <c r="F32" s="2" t="n">
        <v>27.6</v>
      </c>
      <c r="G32" s="2" t="n">
        <v>0.28</v>
      </c>
      <c r="H32" s="2" t="n">
        <v>0.14</v>
      </c>
      <c r="I32" s="2" t="n">
        <v>30.03</v>
      </c>
      <c r="J32" s="2" t="n">
        <v>65.67</v>
      </c>
      <c r="K32" s="2" t="n">
        <v>100</v>
      </c>
      <c r="L32" s="2" t="n">
        <v>8</v>
      </c>
      <c r="M32" s="2" t="n">
        <v>6400</v>
      </c>
    </row>
    <row r="33" customFormat="false" ht="15" hidden="false" customHeight="false" outlineLevel="0" collapsed="false">
      <c r="A33" s="2" t="s">
        <v>24</v>
      </c>
      <c r="B33" s="2" t="s">
        <v>188</v>
      </c>
      <c r="C33" s="2" t="n">
        <v>12</v>
      </c>
      <c r="D33" s="2" t="n">
        <v>9.08</v>
      </c>
      <c r="E33" s="2" t="n">
        <v>7.45</v>
      </c>
      <c r="F33" s="2" t="n">
        <v>28.47</v>
      </c>
      <c r="G33" s="2" t="n">
        <v>0.19</v>
      </c>
      <c r="H33" s="2" t="n">
        <v>0.09</v>
      </c>
      <c r="I33" s="2" t="n">
        <v>31.23</v>
      </c>
      <c r="J33" s="2" t="n">
        <v>64.67</v>
      </c>
      <c r="K33" s="2" t="n">
        <v>100</v>
      </c>
      <c r="L33" s="2" t="n">
        <v>4</v>
      </c>
      <c r="M33" s="2" t="n">
        <v>11103.33</v>
      </c>
    </row>
    <row r="34" customFormat="false" ht="15" hidden="false" customHeight="false" outlineLevel="0" collapsed="false">
      <c r="A34" s="2" t="s">
        <v>24</v>
      </c>
      <c r="B34" s="2" t="s">
        <v>188</v>
      </c>
      <c r="C34" s="2" t="n">
        <v>13</v>
      </c>
      <c r="D34" s="2" t="n">
        <v>9.39</v>
      </c>
      <c r="E34" s="2" t="n">
        <v>7.61</v>
      </c>
      <c r="F34" s="2" t="n">
        <v>27.67</v>
      </c>
      <c r="G34" s="2" t="n">
        <v>0.12</v>
      </c>
      <c r="H34" s="2" t="n">
        <v>0.06</v>
      </c>
      <c r="I34" s="2" t="n">
        <v>32.57</v>
      </c>
      <c r="J34" s="2" t="n">
        <v>62.67</v>
      </c>
      <c r="K34" s="2" t="n">
        <v>100</v>
      </c>
      <c r="L34" s="2" t="n">
        <v>4</v>
      </c>
      <c r="M34" s="2" t="n">
        <v>3490</v>
      </c>
    </row>
    <row r="35" customFormat="false" ht="15" hidden="false" customHeight="false" outlineLevel="0" collapsed="false">
      <c r="A35" s="2" t="s">
        <v>24</v>
      </c>
      <c r="B35" s="2" t="s">
        <v>188</v>
      </c>
      <c r="C35" s="2" t="n">
        <v>14</v>
      </c>
      <c r="D35" s="2" t="n">
        <v>7.28</v>
      </c>
      <c r="E35" s="2" t="n">
        <v>7.44</v>
      </c>
      <c r="F35" s="2" t="n">
        <v>28.3</v>
      </c>
      <c r="G35" s="2" t="n">
        <v>0.52</v>
      </c>
      <c r="H35" s="2" t="n">
        <v>0.26</v>
      </c>
      <c r="I35" s="2" t="n">
        <v>31.7</v>
      </c>
      <c r="J35" s="2" t="n">
        <v>59</v>
      </c>
      <c r="K35" s="2" t="n">
        <v>100</v>
      </c>
      <c r="L35" s="2" t="n">
        <v>7</v>
      </c>
      <c r="M35" s="2" t="n">
        <v>6110</v>
      </c>
    </row>
    <row r="36" customFormat="false" ht="15" hidden="false" customHeight="false" outlineLevel="0" collapsed="false">
      <c r="A36" s="2" t="s">
        <v>24</v>
      </c>
      <c r="B36" s="2" t="s">
        <v>188</v>
      </c>
      <c r="C36" s="2" t="n">
        <v>15</v>
      </c>
      <c r="D36" s="2" t="n">
        <v>8.89</v>
      </c>
      <c r="E36" s="2" t="n">
        <v>7.4</v>
      </c>
      <c r="F36" s="2" t="n">
        <v>29.8</v>
      </c>
      <c r="G36" s="2" t="n">
        <v>0.21</v>
      </c>
      <c r="H36" s="2" t="n">
        <v>0.1</v>
      </c>
      <c r="I36" s="2" t="n">
        <v>33.33</v>
      </c>
      <c r="J36" s="2" t="n">
        <v>61</v>
      </c>
      <c r="K36" s="2" t="n">
        <v>100</v>
      </c>
      <c r="L36" s="2" t="n">
        <v>6</v>
      </c>
      <c r="M36" s="2" t="n">
        <v>14466.67</v>
      </c>
    </row>
    <row r="37" customFormat="false" ht="15" hidden="false" customHeight="false" outlineLevel="0" collapsed="false">
      <c r="A37" s="2" t="s">
        <v>24</v>
      </c>
      <c r="B37" s="2" t="s">
        <v>188</v>
      </c>
      <c r="C37" s="2" t="n">
        <v>16</v>
      </c>
      <c r="D37" s="2" t="n">
        <v>10.57</v>
      </c>
      <c r="E37" s="2" t="n">
        <v>7.36</v>
      </c>
      <c r="F37" s="2" t="n">
        <v>27.13</v>
      </c>
      <c r="G37" s="2" t="n">
        <v>0.16</v>
      </c>
      <c r="H37" s="2" t="n">
        <v>0.07</v>
      </c>
      <c r="I37" s="2" t="n">
        <v>32.4</v>
      </c>
      <c r="J37" s="2" t="n">
        <v>58.67</v>
      </c>
      <c r="K37" s="2" t="n">
        <v>100</v>
      </c>
      <c r="L37" s="2" t="n">
        <v>3</v>
      </c>
      <c r="M37" s="2" t="n">
        <v>5600</v>
      </c>
    </row>
    <row r="38" customFormat="false" ht="15" hidden="false" customHeight="false" outlineLevel="0" collapsed="false">
      <c r="A38" s="2" t="s">
        <v>24</v>
      </c>
      <c r="B38" s="2" t="s">
        <v>188</v>
      </c>
      <c r="C38" s="2" t="n">
        <v>17</v>
      </c>
      <c r="D38" s="2" t="n">
        <v>7.51</v>
      </c>
      <c r="E38" s="2" t="n">
        <v>7.47</v>
      </c>
      <c r="F38" s="2" t="n">
        <v>31.97</v>
      </c>
      <c r="G38" s="2" t="n">
        <v>0.15</v>
      </c>
      <c r="H38" s="2" t="n">
        <v>0.08</v>
      </c>
      <c r="I38" s="2" t="n">
        <v>33.43</v>
      </c>
      <c r="J38" s="2" t="n">
        <v>58.33</v>
      </c>
      <c r="K38" s="2" t="n">
        <v>100</v>
      </c>
      <c r="L38" s="2" t="n">
        <v>4</v>
      </c>
      <c r="M38" s="2" t="n">
        <v>18760</v>
      </c>
    </row>
    <row r="39" customFormat="false" ht="15" hidden="false" customHeight="false" outlineLevel="0" collapsed="false">
      <c r="A39" s="2" t="s">
        <v>24</v>
      </c>
      <c r="B39" s="2" t="s">
        <v>188</v>
      </c>
      <c r="C39" s="2" t="n">
        <v>18</v>
      </c>
      <c r="D39" s="2" t="n">
        <v>15.63</v>
      </c>
      <c r="E39" s="2" t="n">
        <v>7.56</v>
      </c>
      <c r="F39" s="2" t="n">
        <v>30</v>
      </c>
      <c r="G39" s="2" t="n">
        <v>0.11</v>
      </c>
      <c r="H39" s="2" t="n">
        <v>0.06</v>
      </c>
      <c r="I39" s="2" t="n">
        <v>32.43</v>
      </c>
      <c r="J39" s="2" t="n">
        <v>56</v>
      </c>
      <c r="K39" s="2" t="n">
        <v>100</v>
      </c>
      <c r="L39" s="2" t="n">
        <v>3</v>
      </c>
      <c r="M39" s="2" t="n">
        <v>11470</v>
      </c>
    </row>
    <row r="40" customFormat="false" ht="15" hidden="false" customHeight="false" outlineLevel="0" collapsed="false">
      <c r="A40" s="2" t="s">
        <v>24</v>
      </c>
      <c r="B40" s="2" t="s">
        <v>188</v>
      </c>
      <c r="C40" s="2" t="n">
        <v>19</v>
      </c>
      <c r="D40" s="2" t="n">
        <v>14.16</v>
      </c>
      <c r="E40" s="2" t="n">
        <v>7.41</v>
      </c>
      <c r="F40" s="2" t="n">
        <v>28.5</v>
      </c>
      <c r="G40" s="2" t="n">
        <v>0.64</v>
      </c>
      <c r="H40" s="2" t="n">
        <v>0.33</v>
      </c>
      <c r="I40" s="2" t="n">
        <v>32.27</v>
      </c>
      <c r="J40" s="2" t="n">
        <v>55.33</v>
      </c>
      <c r="K40" s="2" t="n">
        <v>100</v>
      </c>
      <c r="L40" s="2" t="n">
        <v>5</v>
      </c>
      <c r="M40" s="2" t="n">
        <v>5843.33</v>
      </c>
    </row>
    <row r="41" customFormat="false" ht="15" hidden="false" customHeight="false" outlineLevel="0" collapsed="false">
      <c r="A41" s="2" t="s">
        <v>24</v>
      </c>
      <c r="B41" s="2" t="s">
        <v>188</v>
      </c>
      <c r="C41" s="2" t="n">
        <v>20</v>
      </c>
      <c r="D41" s="2" t="n">
        <v>12.97</v>
      </c>
      <c r="E41" s="2" t="n">
        <v>7.48</v>
      </c>
      <c r="F41" s="2" t="n">
        <v>27.93</v>
      </c>
      <c r="G41" s="2" t="n">
        <v>0.21</v>
      </c>
      <c r="H41" s="2" t="n">
        <v>0.1</v>
      </c>
      <c r="I41" s="2" t="n">
        <v>32.13</v>
      </c>
      <c r="J41" s="2" t="n">
        <v>58</v>
      </c>
      <c r="K41" s="2" t="n">
        <v>100</v>
      </c>
      <c r="L41" s="2" t="n">
        <v>4</v>
      </c>
      <c r="M41" s="2" t="n">
        <v>7373.33</v>
      </c>
    </row>
    <row r="42" customFormat="false" ht="15" hidden="false" customHeight="false" outlineLevel="0" collapsed="false">
      <c r="A42" s="2" t="s">
        <v>45</v>
      </c>
      <c r="B42" s="2" t="s">
        <v>187</v>
      </c>
      <c r="C42" s="2" t="n">
        <v>1</v>
      </c>
      <c r="D42" s="2" t="n">
        <v>32.92</v>
      </c>
      <c r="E42" s="2" t="n">
        <v>7.7</v>
      </c>
      <c r="F42" s="2" t="n">
        <v>26</v>
      </c>
      <c r="G42" s="2" t="n">
        <v>0.04</v>
      </c>
      <c r="H42" s="2" t="n">
        <v>0.02</v>
      </c>
      <c r="I42" s="2" t="n">
        <v>30.5</v>
      </c>
      <c r="J42" s="2" t="n">
        <v>77</v>
      </c>
      <c r="K42" s="2" t="n">
        <v>100</v>
      </c>
      <c r="L42" s="2" t="n">
        <v>2</v>
      </c>
      <c r="M42" s="2" t="n">
        <v>5692</v>
      </c>
    </row>
    <row r="43" customFormat="false" ht="15" hidden="false" customHeight="false" outlineLevel="0" collapsed="false">
      <c r="A43" s="2" t="s">
        <v>45</v>
      </c>
      <c r="B43" s="2" t="s">
        <v>187</v>
      </c>
      <c r="C43" s="2" t="n">
        <v>2</v>
      </c>
      <c r="D43" s="2" t="n">
        <v>28.57</v>
      </c>
      <c r="E43" s="2" t="n">
        <v>7.39</v>
      </c>
      <c r="F43" s="2" t="n">
        <v>27.57</v>
      </c>
      <c r="G43" s="2" t="n">
        <v>0.03</v>
      </c>
      <c r="H43" s="2" t="n">
        <v>0.01</v>
      </c>
      <c r="I43" s="2" t="n">
        <v>30.27</v>
      </c>
      <c r="J43" s="2" t="n">
        <v>81.33</v>
      </c>
      <c r="K43" s="2" t="n">
        <v>15</v>
      </c>
      <c r="L43" s="2" t="n">
        <v>1</v>
      </c>
      <c r="M43" s="2" t="n">
        <v>3530</v>
      </c>
    </row>
    <row r="44" customFormat="false" ht="15" hidden="false" customHeight="false" outlineLevel="0" collapsed="false">
      <c r="A44" s="2" t="s">
        <v>45</v>
      </c>
      <c r="B44" s="2" t="s">
        <v>187</v>
      </c>
      <c r="C44" s="2" t="n">
        <v>3</v>
      </c>
      <c r="D44" s="2" t="n">
        <v>17</v>
      </c>
      <c r="E44" s="2" t="n">
        <v>7.4</v>
      </c>
      <c r="F44" s="2" t="n">
        <v>28.33</v>
      </c>
      <c r="G44" s="2" t="n">
        <v>0.02</v>
      </c>
      <c r="H44" s="2" t="n">
        <v>0.01</v>
      </c>
      <c r="I44" s="2" t="n">
        <v>31.57</v>
      </c>
      <c r="J44" s="2" t="n">
        <v>75.67</v>
      </c>
      <c r="K44" s="2" t="n">
        <v>25</v>
      </c>
      <c r="L44" s="2" t="n">
        <v>1</v>
      </c>
      <c r="M44" s="2" t="n">
        <v>9073.33</v>
      </c>
    </row>
    <row r="45" customFormat="false" ht="15" hidden="false" customHeight="false" outlineLevel="0" collapsed="false">
      <c r="A45" s="2" t="s">
        <v>45</v>
      </c>
      <c r="B45" s="2" t="s">
        <v>187</v>
      </c>
      <c r="C45" s="2" t="n">
        <v>4</v>
      </c>
      <c r="D45" s="2" t="n">
        <v>24.33</v>
      </c>
      <c r="E45" s="2" t="n">
        <v>7.29</v>
      </c>
      <c r="F45" s="2" t="n">
        <v>27.77</v>
      </c>
      <c r="G45" s="2" t="n">
        <v>0.02</v>
      </c>
      <c r="H45" s="2" t="n">
        <v>0.01</v>
      </c>
      <c r="I45" s="2" t="n">
        <v>33.03</v>
      </c>
      <c r="J45" s="2" t="n">
        <v>72.33</v>
      </c>
      <c r="K45" s="2" t="n">
        <v>75</v>
      </c>
      <c r="L45" s="2" t="n">
        <v>1</v>
      </c>
      <c r="M45" s="2" t="n">
        <v>9693.33</v>
      </c>
    </row>
    <row r="46" customFormat="false" ht="15" hidden="false" customHeight="false" outlineLevel="0" collapsed="false">
      <c r="A46" s="2" t="s">
        <v>45</v>
      </c>
      <c r="B46" s="2" t="s">
        <v>187</v>
      </c>
      <c r="C46" s="2" t="n">
        <v>5</v>
      </c>
      <c r="D46" s="2" t="n">
        <v>12.5</v>
      </c>
      <c r="E46" s="2" t="n">
        <v>7.22</v>
      </c>
      <c r="F46" s="2" t="n">
        <v>28.37</v>
      </c>
      <c r="G46" s="2" t="n">
        <v>0.02</v>
      </c>
      <c r="H46" s="2" t="n">
        <v>0.01</v>
      </c>
      <c r="I46" s="2" t="n">
        <v>32.7</v>
      </c>
      <c r="J46" s="2" t="n">
        <v>73.67</v>
      </c>
      <c r="K46" s="2" t="n">
        <v>25</v>
      </c>
      <c r="L46" s="2" t="n">
        <v>1</v>
      </c>
      <c r="M46" s="2" t="n">
        <v>13980</v>
      </c>
    </row>
    <row r="47" customFormat="false" ht="15" hidden="false" customHeight="false" outlineLevel="0" collapsed="false">
      <c r="A47" s="2" t="s">
        <v>45</v>
      </c>
      <c r="B47" s="2" t="s">
        <v>187</v>
      </c>
      <c r="C47" s="2" t="n">
        <v>6</v>
      </c>
      <c r="D47" s="2" t="n">
        <v>63.33</v>
      </c>
      <c r="E47" s="2" t="n">
        <v>7.28</v>
      </c>
      <c r="F47" s="2" t="n">
        <v>29.43</v>
      </c>
      <c r="G47" s="2" t="n">
        <v>0.04</v>
      </c>
      <c r="H47" s="2" t="n">
        <v>0.02</v>
      </c>
      <c r="I47" s="2" t="n">
        <v>32.77</v>
      </c>
      <c r="J47" s="2" t="n">
        <v>76.33</v>
      </c>
      <c r="K47" s="2" t="n">
        <v>25</v>
      </c>
      <c r="L47" s="2" t="n">
        <v>1</v>
      </c>
      <c r="M47" s="2" t="n">
        <v>14850</v>
      </c>
    </row>
    <row r="48" customFormat="false" ht="15" hidden="false" customHeight="false" outlineLevel="0" collapsed="false">
      <c r="A48" s="2" t="s">
        <v>45</v>
      </c>
      <c r="B48" s="2" t="s">
        <v>187</v>
      </c>
      <c r="C48" s="2" t="n">
        <v>7</v>
      </c>
      <c r="D48" s="2" t="n">
        <v>29.29</v>
      </c>
      <c r="E48" s="2" t="n">
        <v>7.18</v>
      </c>
      <c r="F48" s="2" t="n">
        <v>29.8</v>
      </c>
      <c r="G48" s="2" t="n">
        <v>0.01</v>
      </c>
      <c r="H48" s="2" t="n">
        <v>0</v>
      </c>
      <c r="I48" s="2" t="n">
        <v>33.33</v>
      </c>
      <c r="J48" s="2" t="n">
        <v>71.33</v>
      </c>
      <c r="K48" s="2" t="n">
        <v>50</v>
      </c>
      <c r="L48" s="2" t="n">
        <v>1</v>
      </c>
      <c r="M48" s="2" t="n">
        <v>11696.67</v>
      </c>
    </row>
    <row r="49" customFormat="false" ht="15" hidden="false" customHeight="false" outlineLevel="0" collapsed="false">
      <c r="A49" s="2" t="s">
        <v>45</v>
      </c>
      <c r="B49" s="2" t="s">
        <v>187</v>
      </c>
      <c r="C49" s="2" t="n">
        <v>8</v>
      </c>
      <c r="D49" s="2" t="n">
        <v>37.88</v>
      </c>
      <c r="E49" s="2" t="n">
        <v>7.17</v>
      </c>
      <c r="F49" s="2" t="n">
        <v>28.03</v>
      </c>
      <c r="G49" s="2" t="n">
        <v>0.03</v>
      </c>
      <c r="H49" s="2" t="n">
        <v>0.01</v>
      </c>
      <c r="I49" s="2" t="n">
        <v>33.37</v>
      </c>
      <c r="J49" s="2" t="n">
        <v>67.33</v>
      </c>
      <c r="K49" s="2" t="n">
        <v>50</v>
      </c>
      <c r="L49" s="2" t="n">
        <v>1</v>
      </c>
      <c r="M49" s="2" t="n">
        <v>6203.33</v>
      </c>
    </row>
    <row r="50" customFormat="false" ht="15" hidden="false" customHeight="false" outlineLevel="0" collapsed="false">
      <c r="A50" s="2" t="s">
        <v>45</v>
      </c>
      <c r="B50" s="2" t="s">
        <v>187</v>
      </c>
      <c r="C50" s="2" t="n">
        <v>9</v>
      </c>
      <c r="D50" s="2" t="n">
        <v>25</v>
      </c>
      <c r="E50" s="2" t="n">
        <v>7.41</v>
      </c>
      <c r="F50" s="2" t="n">
        <v>28.67</v>
      </c>
      <c r="G50" s="2" t="n">
        <v>0.04</v>
      </c>
      <c r="H50" s="2" t="n">
        <v>0.02</v>
      </c>
      <c r="I50" s="2" t="n">
        <v>33.6</v>
      </c>
      <c r="J50" s="2" t="n">
        <v>71</v>
      </c>
      <c r="K50" s="2" t="n">
        <v>25</v>
      </c>
      <c r="L50" s="2" t="n">
        <v>1</v>
      </c>
      <c r="M50" s="2" t="n">
        <v>11720</v>
      </c>
    </row>
    <row r="51" customFormat="false" ht="15" hidden="false" customHeight="false" outlineLevel="0" collapsed="false">
      <c r="A51" s="2" t="s">
        <v>45</v>
      </c>
      <c r="B51" s="2" t="s">
        <v>187</v>
      </c>
      <c r="C51" s="2" t="n">
        <v>10</v>
      </c>
      <c r="D51" s="2" t="n">
        <v>42.67</v>
      </c>
      <c r="E51" s="2" t="n">
        <v>7.45</v>
      </c>
      <c r="F51" s="2" t="n">
        <v>26.3</v>
      </c>
      <c r="G51" s="2" t="n">
        <v>0.04</v>
      </c>
      <c r="H51" s="2" t="n">
        <v>0.02</v>
      </c>
      <c r="I51" s="2" t="n">
        <v>32.4</v>
      </c>
      <c r="J51" s="2" t="n">
        <v>71</v>
      </c>
      <c r="K51" s="2" t="n">
        <v>25</v>
      </c>
      <c r="L51" s="2" t="n">
        <v>1</v>
      </c>
      <c r="M51" s="2" t="n">
        <v>1689.33</v>
      </c>
    </row>
    <row r="52" customFormat="false" ht="15" hidden="false" customHeight="false" outlineLevel="0" collapsed="false">
      <c r="A52" s="2" t="s">
        <v>45</v>
      </c>
      <c r="B52" s="2" t="s">
        <v>187</v>
      </c>
      <c r="C52" s="2" t="n">
        <v>11</v>
      </c>
      <c r="D52" s="2" t="n">
        <v>35</v>
      </c>
      <c r="E52" s="2" t="n">
        <v>9.34</v>
      </c>
      <c r="F52" s="2" t="n">
        <v>25.9</v>
      </c>
      <c r="G52" s="2" t="n">
        <v>0.01</v>
      </c>
      <c r="H52" s="2" t="n">
        <v>0.01</v>
      </c>
      <c r="I52" s="2" t="n">
        <v>29.43</v>
      </c>
      <c r="J52" s="2" t="n">
        <v>86</v>
      </c>
      <c r="K52" s="2" t="n">
        <v>0</v>
      </c>
      <c r="L52" s="2" t="n">
        <v>0</v>
      </c>
      <c r="M52" s="2" t="n">
        <v>1767.67</v>
      </c>
    </row>
    <row r="53" customFormat="false" ht="15" hidden="false" customHeight="false" outlineLevel="0" collapsed="false">
      <c r="A53" s="2" t="s">
        <v>45</v>
      </c>
      <c r="B53" s="2" t="s">
        <v>187</v>
      </c>
      <c r="C53" s="2" t="n">
        <v>12</v>
      </c>
      <c r="D53" s="2" t="n">
        <v>31.54</v>
      </c>
      <c r="E53" s="2" t="n">
        <v>9.24</v>
      </c>
      <c r="F53" s="2" t="n">
        <v>26.37</v>
      </c>
      <c r="G53" s="2" t="n">
        <v>0.03</v>
      </c>
      <c r="H53" s="2" t="n">
        <v>0.01</v>
      </c>
      <c r="I53" s="2" t="n">
        <v>30.2</v>
      </c>
      <c r="J53" s="2" t="n">
        <v>85.33</v>
      </c>
      <c r="K53" s="2" t="n">
        <v>0</v>
      </c>
      <c r="L53" s="2" t="n">
        <v>0</v>
      </c>
      <c r="M53" s="2" t="n">
        <v>2112.67</v>
      </c>
    </row>
    <row r="54" customFormat="false" ht="15" hidden="false" customHeight="false" outlineLevel="0" collapsed="false">
      <c r="A54" s="2" t="s">
        <v>45</v>
      </c>
      <c r="B54" s="2" t="s">
        <v>187</v>
      </c>
      <c r="C54" s="2" t="n">
        <v>13</v>
      </c>
      <c r="D54" s="2" t="n">
        <v>12.13</v>
      </c>
      <c r="E54" s="2" t="n">
        <v>9.15</v>
      </c>
      <c r="F54" s="2" t="n">
        <v>27.4</v>
      </c>
      <c r="G54" s="2" t="n">
        <v>0.02</v>
      </c>
      <c r="H54" s="2" t="n">
        <v>0.01</v>
      </c>
      <c r="I54" s="2" t="n">
        <v>30.33</v>
      </c>
      <c r="J54" s="2" t="n">
        <v>83.33</v>
      </c>
      <c r="K54" s="2" t="n">
        <v>0</v>
      </c>
      <c r="L54" s="2" t="n">
        <v>0</v>
      </c>
      <c r="M54" s="2" t="n">
        <v>14275</v>
      </c>
    </row>
    <row r="55" customFormat="false" ht="15" hidden="false" customHeight="false" outlineLevel="0" collapsed="false">
      <c r="A55" s="2" t="s">
        <v>45</v>
      </c>
      <c r="B55" s="2" t="s">
        <v>187</v>
      </c>
      <c r="C55" s="2" t="n">
        <v>14</v>
      </c>
      <c r="D55" s="2" t="n">
        <v>21.59</v>
      </c>
      <c r="E55" s="2" t="n">
        <v>9.09</v>
      </c>
      <c r="F55" s="2" t="n">
        <v>27.07</v>
      </c>
      <c r="G55" s="2" t="n">
        <v>0.03</v>
      </c>
      <c r="H55" s="2" t="n">
        <v>0.02</v>
      </c>
      <c r="I55" s="2" t="n">
        <v>31.17</v>
      </c>
      <c r="J55" s="2" t="n">
        <v>84.67</v>
      </c>
      <c r="K55" s="2" t="n">
        <v>90</v>
      </c>
      <c r="L55" s="2" t="n">
        <v>2</v>
      </c>
      <c r="M55" s="2" t="n">
        <v>13170</v>
      </c>
    </row>
    <row r="56" customFormat="false" ht="15" hidden="false" customHeight="false" outlineLevel="0" collapsed="false">
      <c r="A56" s="2" t="s">
        <v>45</v>
      </c>
      <c r="B56" s="2" t="s">
        <v>187</v>
      </c>
      <c r="C56" s="2" t="n">
        <v>15</v>
      </c>
      <c r="D56" s="2" t="n">
        <v>32.31</v>
      </c>
      <c r="E56" s="2" t="n">
        <v>9.09</v>
      </c>
      <c r="F56" s="2" t="n">
        <v>26.77</v>
      </c>
      <c r="G56" s="2" t="n">
        <v>0.04</v>
      </c>
      <c r="H56" s="2" t="n">
        <v>0.02</v>
      </c>
      <c r="I56" s="2" t="n">
        <v>31.13</v>
      </c>
      <c r="J56" s="2" t="n">
        <v>84</v>
      </c>
      <c r="K56" s="2" t="n">
        <v>100</v>
      </c>
      <c r="L56" s="2" t="n">
        <v>3</v>
      </c>
      <c r="M56" s="2" t="n">
        <v>7750</v>
      </c>
    </row>
    <row r="57" customFormat="false" ht="15" hidden="false" customHeight="false" outlineLevel="0" collapsed="false">
      <c r="A57" s="2" t="s">
        <v>45</v>
      </c>
      <c r="B57" s="2" t="s">
        <v>187</v>
      </c>
      <c r="C57" s="2" t="n">
        <v>16</v>
      </c>
      <c r="D57" s="2" t="n">
        <v>25</v>
      </c>
      <c r="E57" s="2" t="n">
        <v>9.03</v>
      </c>
      <c r="F57" s="2" t="n">
        <v>29.73</v>
      </c>
      <c r="G57" s="2" t="n">
        <v>0</v>
      </c>
      <c r="H57" s="2" t="n">
        <v>0</v>
      </c>
      <c r="I57" s="2" t="n">
        <v>31</v>
      </c>
      <c r="J57" s="2" t="n">
        <v>82.33</v>
      </c>
      <c r="K57" s="2" t="n">
        <v>0</v>
      </c>
      <c r="L57" s="2" t="n">
        <v>0</v>
      </c>
      <c r="M57" s="2" t="n">
        <v>16675</v>
      </c>
    </row>
    <row r="58" customFormat="false" ht="15" hidden="false" customHeight="false" outlineLevel="0" collapsed="false">
      <c r="A58" s="2" t="s">
        <v>45</v>
      </c>
      <c r="B58" s="2" t="s">
        <v>187</v>
      </c>
      <c r="C58" s="2" t="n">
        <v>17</v>
      </c>
      <c r="D58" s="2" t="n">
        <v>25.4</v>
      </c>
      <c r="E58" s="2" t="n">
        <v>9.03</v>
      </c>
      <c r="F58" s="2" t="n">
        <v>28</v>
      </c>
      <c r="G58" s="2" t="n">
        <v>0.01</v>
      </c>
      <c r="H58" s="2" t="n">
        <v>0.01</v>
      </c>
      <c r="I58" s="2" t="n">
        <v>30.93</v>
      </c>
      <c r="J58" s="2" t="n">
        <v>82.67</v>
      </c>
      <c r="K58" s="2" t="n">
        <v>0</v>
      </c>
      <c r="L58" s="2" t="n">
        <v>0</v>
      </c>
      <c r="M58" s="2" t="n">
        <v>10865</v>
      </c>
    </row>
    <row r="59" customFormat="false" ht="15" hidden="false" customHeight="false" outlineLevel="0" collapsed="false">
      <c r="A59" s="2" t="s">
        <v>45</v>
      </c>
      <c r="B59" s="2" t="s">
        <v>187</v>
      </c>
      <c r="C59" s="2" t="n">
        <v>18</v>
      </c>
      <c r="D59" s="2" t="n">
        <v>18.82</v>
      </c>
      <c r="E59" s="2" t="n">
        <v>9</v>
      </c>
      <c r="F59" s="2" t="n">
        <v>27.6</v>
      </c>
      <c r="G59" s="2" t="n">
        <v>0.25</v>
      </c>
      <c r="H59" s="2" t="n">
        <v>0.12</v>
      </c>
      <c r="I59" s="2" t="n">
        <v>30.67</v>
      </c>
      <c r="J59" s="2" t="n">
        <v>85</v>
      </c>
      <c r="K59" s="2" t="n">
        <v>0</v>
      </c>
      <c r="L59" s="2" t="n">
        <v>0</v>
      </c>
      <c r="M59" s="2" t="n">
        <v>4155</v>
      </c>
    </row>
    <row r="60" customFormat="false" ht="15" hidden="false" customHeight="false" outlineLevel="0" collapsed="false">
      <c r="A60" s="2" t="s">
        <v>45</v>
      </c>
      <c r="B60" s="2" t="s">
        <v>187</v>
      </c>
      <c r="C60" s="2" t="n">
        <v>19</v>
      </c>
      <c r="D60" s="2" t="n">
        <v>42</v>
      </c>
      <c r="E60" s="2" t="n">
        <v>9.1</v>
      </c>
      <c r="F60" s="2" t="n">
        <v>27.33</v>
      </c>
      <c r="G60" s="2" t="n">
        <v>0</v>
      </c>
      <c r="H60" s="2" t="n">
        <v>0</v>
      </c>
      <c r="I60" s="2" t="n">
        <v>30.93</v>
      </c>
      <c r="J60" s="2" t="n">
        <v>81.33</v>
      </c>
      <c r="K60" s="2" t="n">
        <v>0</v>
      </c>
      <c r="L60" s="2" t="n">
        <v>0</v>
      </c>
      <c r="M60" s="2" t="n">
        <v>12195</v>
      </c>
    </row>
    <row r="61" customFormat="false" ht="15" hidden="false" customHeight="false" outlineLevel="0" collapsed="false">
      <c r="A61" s="2" t="s">
        <v>45</v>
      </c>
      <c r="B61" s="2" t="s">
        <v>187</v>
      </c>
      <c r="C61" s="2" t="n">
        <v>20</v>
      </c>
      <c r="D61" s="2" t="n">
        <v>33.93</v>
      </c>
      <c r="E61" s="2" t="n">
        <v>8.97</v>
      </c>
      <c r="F61" s="2" t="n">
        <v>26.63</v>
      </c>
      <c r="G61" s="2" t="n">
        <v>0</v>
      </c>
      <c r="H61" s="2" t="n">
        <v>0</v>
      </c>
      <c r="I61" s="2" t="n">
        <v>31.5</v>
      </c>
      <c r="J61" s="2" t="n">
        <v>80.67</v>
      </c>
      <c r="K61" s="2" t="n">
        <v>0</v>
      </c>
      <c r="L61" s="2" t="n">
        <v>0</v>
      </c>
      <c r="M61" s="2" t="n">
        <v>3070</v>
      </c>
    </row>
    <row r="62" customFormat="false" ht="15" hidden="false" customHeight="false" outlineLevel="0" collapsed="false">
      <c r="A62" s="2" t="s">
        <v>45</v>
      </c>
      <c r="B62" s="2" t="s">
        <v>188</v>
      </c>
      <c r="C62" s="2" t="n">
        <v>1</v>
      </c>
      <c r="D62" s="2" t="n">
        <v>3.87</v>
      </c>
      <c r="E62" s="2" t="n">
        <v>7.51</v>
      </c>
      <c r="F62" s="2" t="n">
        <v>27.03</v>
      </c>
      <c r="G62" s="2" t="n">
        <v>0.06</v>
      </c>
      <c r="H62" s="2" t="n">
        <v>0.02</v>
      </c>
      <c r="I62" s="2" t="n">
        <v>31.27</v>
      </c>
      <c r="J62" s="2" t="n">
        <v>64</v>
      </c>
      <c r="K62" s="2" t="n">
        <v>30</v>
      </c>
      <c r="L62" s="2" t="n">
        <v>2</v>
      </c>
      <c r="M62" s="2" t="n">
        <v>2368.67</v>
      </c>
    </row>
    <row r="63" customFormat="false" ht="15" hidden="false" customHeight="false" outlineLevel="0" collapsed="false">
      <c r="A63" s="2" t="s">
        <v>45</v>
      </c>
      <c r="B63" s="2" t="s">
        <v>188</v>
      </c>
      <c r="C63" s="2" t="n">
        <v>2</v>
      </c>
      <c r="D63" s="2" t="n">
        <v>2.06</v>
      </c>
      <c r="E63" s="2" t="n">
        <v>7.43</v>
      </c>
      <c r="F63" s="2" t="n">
        <v>28.93</v>
      </c>
      <c r="G63" s="2" t="n">
        <v>0.04</v>
      </c>
      <c r="H63" s="2" t="n">
        <v>0.02</v>
      </c>
      <c r="I63" s="2" t="n">
        <v>31.77</v>
      </c>
      <c r="J63" s="2" t="n">
        <v>65.33</v>
      </c>
      <c r="K63" s="2" t="n">
        <v>10</v>
      </c>
      <c r="L63" s="2" t="n">
        <v>1</v>
      </c>
      <c r="M63" s="2" t="n">
        <v>5970</v>
      </c>
    </row>
    <row r="64" customFormat="false" ht="15" hidden="false" customHeight="false" outlineLevel="0" collapsed="false">
      <c r="A64" s="2" t="s">
        <v>45</v>
      </c>
      <c r="B64" s="2" t="s">
        <v>188</v>
      </c>
      <c r="C64" s="2" t="n">
        <v>3</v>
      </c>
      <c r="D64" s="2" t="n">
        <v>1.52</v>
      </c>
      <c r="E64" s="2" t="n">
        <v>7.5</v>
      </c>
      <c r="F64" s="2" t="n">
        <v>30.8</v>
      </c>
      <c r="G64" s="2" t="n">
        <v>0.03</v>
      </c>
      <c r="H64" s="2" t="n">
        <v>0.02</v>
      </c>
      <c r="I64" s="2" t="n">
        <v>33.63</v>
      </c>
      <c r="J64" s="2" t="n">
        <v>62.67</v>
      </c>
      <c r="K64" s="2" t="n">
        <v>10</v>
      </c>
      <c r="L64" s="2" t="n">
        <v>1</v>
      </c>
      <c r="M64" s="2" t="n">
        <v>16170</v>
      </c>
    </row>
    <row r="65" customFormat="false" ht="15" hidden="false" customHeight="false" outlineLevel="0" collapsed="false">
      <c r="A65" s="2" t="s">
        <v>45</v>
      </c>
      <c r="B65" s="2" t="s">
        <v>188</v>
      </c>
      <c r="C65" s="2" t="n">
        <v>4</v>
      </c>
      <c r="D65" s="2" t="n">
        <v>4.4</v>
      </c>
      <c r="E65" s="2" t="n">
        <v>7.51</v>
      </c>
      <c r="F65" s="2" t="n">
        <v>29.2</v>
      </c>
      <c r="G65" s="2" t="n">
        <v>0.01</v>
      </c>
      <c r="H65" s="2" t="n">
        <v>0</v>
      </c>
      <c r="I65" s="2" t="n">
        <v>34.4</v>
      </c>
      <c r="J65" s="2" t="n">
        <v>60.33</v>
      </c>
      <c r="K65" s="2" t="n">
        <v>15</v>
      </c>
      <c r="L65" s="2" t="n">
        <v>1</v>
      </c>
      <c r="M65" s="2" t="n">
        <v>9623.33</v>
      </c>
    </row>
    <row r="66" customFormat="false" ht="15" hidden="false" customHeight="false" outlineLevel="0" collapsed="false">
      <c r="A66" s="2" t="s">
        <v>45</v>
      </c>
      <c r="B66" s="2" t="s">
        <v>188</v>
      </c>
      <c r="C66" s="2" t="n">
        <v>5</v>
      </c>
      <c r="D66" s="2" t="n">
        <v>3.79</v>
      </c>
      <c r="E66" s="2" t="n">
        <v>7.44</v>
      </c>
      <c r="F66" s="2" t="n">
        <v>28.07</v>
      </c>
      <c r="G66" s="2" t="n">
        <v>0.04</v>
      </c>
      <c r="H66" s="2" t="n">
        <v>0.01</v>
      </c>
      <c r="I66" s="2" t="n">
        <v>34.37</v>
      </c>
      <c r="J66" s="2" t="n">
        <v>60.33</v>
      </c>
      <c r="K66" s="2" t="n">
        <v>60</v>
      </c>
      <c r="L66" s="2" t="n">
        <v>3</v>
      </c>
      <c r="M66" s="2" t="n">
        <v>9733.33</v>
      </c>
    </row>
    <row r="67" customFormat="false" ht="15" hidden="false" customHeight="false" outlineLevel="0" collapsed="false">
      <c r="A67" s="2" t="s">
        <v>45</v>
      </c>
      <c r="B67" s="2" t="s">
        <v>188</v>
      </c>
      <c r="C67" s="2" t="n">
        <v>6</v>
      </c>
      <c r="D67" s="2" t="n">
        <v>1.16</v>
      </c>
      <c r="E67" s="2" t="n">
        <v>7.42</v>
      </c>
      <c r="F67" s="2" t="n">
        <v>35.17</v>
      </c>
      <c r="G67" s="2" t="n">
        <v>0.01</v>
      </c>
      <c r="H67" s="2" t="n">
        <v>0</v>
      </c>
      <c r="I67" s="2" t="n">
        <v>36.2</v>
      </c>
      <c r="J67" s="2" t="n">
        <v>55.67</v>
      </c>
      <c r="K67" s="2" t="n">
        <v>10</v>
      </c>
      <c r="L67" s="2" t="n">
        <v>1</v>
      </c>
      <c r="M67" s="2" t="n">
        <v>13500</v>
      </c>
    </row>
    <row r="68" customFormat="false" ht="15" hidden="false" customHeight="false" outlineLevel="0" collapsed="false">
      <c r="A68" s="2" t="s">
        <v>45</v>
      </c>
      <c r="B68" s="2" t="s">
        <v>188</v>
      </c>
      <c r="C68" s="2" t="n">
        <v>7</v>
      </c>
      <c r="D68" s="2" t="n">
        <v>1.62</v>
      </c>
      <c r="E68" s="2" t="n">
        <v>7.35</v>
      </c>
      <c r="F68" s="2" t="n">
        <v>36</v>
      </c>
      <c r="G68" s="2" t="n">
        <v>0.09</v>
      </c>
      <c r="H68" s="2" t="n">
        <v>0.04</v>
      </c>
      <c r="I68" s="2" t="n">
        <v>37.7</v>
      </c>
      <c r="J68" s="2" t="n">
        <v>55.33</v>
      </c>
      <c r="K68" s="2" t="n">
        <v>5</v>
      </c>
      <c r="L68" s="2" t="n">
        <v>1</v>
      </c>
      <c r="M68" s="2" t="n">
        <v>18470</v>
      </c>
    </row>
    <row r="69" customFormat="false" ht="15" hidden="false" customHeight="false" outlineLevel="0" collapsed="false">
      <c r="A69" s="2" t="s">
        <v>45</v>
      </c>
      <c r="B69" s="2" t="s">
        <v>188</v>
      </c>
      <c r="C69" s="2" t="n">
        <v>8</v>
      </c>
      <c r="D69" s="2" t="n">
        <v>2.07</v>
      </c>
      <c r="E69" s="2" t="n">
        <v>7.48</v>
      </c>
      <c r="F69" s="2" t="n">
        <v>30.67</v>
      </c>
      <c r="G69" s="2" t="n">
        <v>0.02</v>
      </c>
      <c r="H69" s="2" t="n">
        <v>0.01</v>
      </c>
      <c r="I69" s="2" t="n">
        <v>36.73</v>
      </c>
      <c r="J69" s="2" t="n">
        <v>51</v>
      </c>
      <c r="K69" s="2" t="n">
        <v>100</v>
      </c>
      <c r="L69" s="2" t="n">
        <v>2</v>
      </c>
      <c r="M69" s="2" t="n">
        <v>12700</v>
      </c>
    </row>
    <row r="70" customFormat="false" ht="15" hidden="false" customHeight="false" outlineLevel="0" collapsed="false">
      <c r="A70" s="2" t="s">
        <v>45</v>
      </c>
      <c r="B70" s="2" t="s">
        <v>188</v>
      </c>
      <c r="C70" s="2" t="n">
        <v>9</v>
      </c>
      <c r="D70" s="2" t="n">
        <v>2.29</v>
      </c>
      <c r="E70" s="2" t="n">
        <v>7.4</v>
      </c>
      <c r="F70" s="2" t="n">
        <v>36.47</v>
      </c>
      <c r="G70" s="2" t="n">
        <v>0.02</v>
      </c>
      <c r="H70" s="2" t="n">
        <v>0.01</v>
      </c>
      <c r="I70" s="2" t="n">
        <v>36.47</v>
      </c>
      <c r="J70" s="2" t="n">
        <v>49.67</v>
      </c>
      <c r="K70" s="2" t="n">
        <v>30</v>
      </c>
      <c r="L70" s="2" t="n">
        <v>2</v>
      </c>
      <c r="M70" s="2" t="n">
        <v>12553.33</v>
      </c>
    </row>
    <row r="71" customFormat="false" ht="15" hidden="false" customHeight="false" outlineLevel="0" collapsed="false">
      <c r="A71" s="2" t="s">
        <v>45</v>
      </c>
      <c r="B71" s="2" t="s">
        <v>188</v>
      </c>
      <c r="C71" s="2" t="n">
        <v>10</v>
      </c>
      <c r="D71" s="2" t="n">
        <v>2.35</v>
      </c>
      <c r="E71" s="2" t="n">
        <v>7.5</v>
      </c>
      <c r="F71" s="2" t="n">
        <v>30</v>
      </c>
      <c r="G71" s="2" t="n">
        <v>0.04</v>
      </c>
      <c r="H71" s="2" t="n">
        <v>0.01</v>
      </c>
      <c r="I71" s="2" t="n">
        <v>35.27</v>
      </c>
      <c r="J71" s="2" t="n">
        <v>51.67</v>
      </c>
      <c r="K71" s="2" t="n">
        <v>10</v>
      </c>
      <c r="L71" s="2" t="n">
        <v>1</v>
      </c>
      <c r="M71" s="2" t="n">
        <v>7633.33</v>
      </c>
    </row>
    <row r="72" customFormat="false" ht="15" hidden="false" customHeight="false" outlineLevel="0" collapsed="false">
      <c r="A72" s="2" t="s">
        <v>45</v>
      </c>
      <c r="B72" s="2" t="s">
        <v>188</v>
      </c>
      <c r="C72" s="2" t="n">
        <v>11</v>
      </c>
      <c r="D72" s="2" t="n">
        <v>2.98</v>
      </c>
      <c r="E72" s="2" t="n">
        <v>7.02</v>
      </c>
      <c r="F72" s="2" t="n">
        <v>28.4</v>
      </c>
      <c r="G72" s="2" t="n">
        <v>0.11</v>
      </c>
      <c r="H72" s="2" t="n">
        <v>0.06</v>
      </c>
      <c r="I72" s="2" t="n">
        <v>32.27</v>
      </c>
      <c r="J72" s="2" t="n">
        <v>56.33</v>
      </c>
      <c r="K72" s="2" t="n">
        <v>70</v>
      </c>
      <c r="L72" s="2" t="n">
        <v>2</v>
      </c>
      <c r="M72" s="2" t="n">
        <v>6196.67</v>
      </c>
    </row>
    <row r="73" customFormat="false" ht="15" hidden="false" customHeight="false" outlineLevel="0" collapsed="false">
      <c r="A73" s="2" t="s">
        <v>45</v>
      </c>
      <c r="B73" s="2" t="s">
        <v>188</v>
      </c>
      <c r="C73" s="2" t="n">
        <v>12</v>
      </c>
      <c r="D73" s="2" t="n">
        <v>1.68</v>
      </c>
      <c r="E73" s="2" t="n">
        <v>6.92</v>
      </c>
      <c r="F73" s="2" t="n">
        <v>30.47</v>
      </c>
      <c r="G73" s="2" t="n">
        <v>0.09</v>
      </c>
      <c r="H73" s="2" t="n">
        <v>0.04</v>
      </c>
      <c r="I73" s="2" t="n">
        <v>32.87</v>
      </c>
      <c r="J73" s="2" t="n">
        <v>57</v>
      </c>
      <c r="K73" s="2" t="n">
        <v>10</v>
      </c>
      <c r="L73" s="2" t="n">
        <v>1</v>
      </c>
      <c r="M73" s="2" t="n">
        <v>9830</v>
      </c>
    </row>
    <row r="74" customFormat="false" ht="15" hidden="false" customHeight="false" outlineLevel="0" collapsed="false">
      <c r="A74" s="2" t="s">
        <v>45</v>
      </c>
      <c r="B74" s="2" t="s">
        <v>188</v>
      </c>
      <c r="C74" s="2" t="n">
        <v>13</v>
      </c>
      <c r="D74" s="2" t="n">
        <v>2.61</v>
      </c>
      <c r="E74" s="2" t="n">
        <v>6.92</v>
      </c>
      <c r="F74" s="2" t="n">
        <v>33.57</v>
      </c>
      <c r="G74" s="2" t="n">
        <v>0.11</v>
      </c>
      <c r="H74" s="2" t="n">
        <v>0.05</v>
      </c>
      <c r="I74" s="2" t="n">
        <v>34.23</v>
      </c>
      <c r="J74" s="2" t="n">
        <v>54.67</v>
      </c>
      <c r="K74" s="2" t="n">
        <v>50</v>
      </c>
      <c r="L74" s="2" t="n">
        <v>1</v>
      </c>
      <c r="M74" s="2" t="n">
        <v>18453.33</v>
      </c>
    </row>
    <row r="75" customFormat="false" ht="15" hidden="false" customHeight="false" outlineLevel="0" collapsed="false">
      <c r="A75" s="2" t="s">
        <v>45</v>
      </c>
      <c r="B75" s="2" t="s">
        <v>188</v>
      </c>
      <c r="C75" s="2" t="n">
        <v>14</v>
      </c>
      <c r="D75" s="2" t="n">
        <v>2.78</v>
      </c>
      <c r="E75" s="2" t="n">
        <v>6.77</v>
      </c>
      <c r="F75" s="2" t="n">
        <v>31.97</v>
      </c>
      <c r="G75" s="2" t="n">
        <v>0.08</v>
      </c>
      <c r="H75" s="2" t="n">
        <v>0.04</v>
      </c>
      <c r="I75" s="2" t="n">
        <v>34.2</v>
      </c>
      <c r="J75" s="2" t="n">
        <v>52.67</v>
      </c>
      <c r="K75" s="2" t="n">
        <v>40</v>
      </c>
      <c r="L75" s="2" t="n">
        <v>2</v>
      </c>
      <c r="M75" s="2" t="n">
        <v>11593.33</v>
      </c>
    </row>
    <row r="76" customFormat="false" ht="15" hidden="false" customHeight="false" outlineLevel="0" collapsed="false">
      <c r="A76" s="2" t="s">
        <v>45</v>
      </c>
      <c r="B76" s="2" t="s">
        <v>188</v>
      </c>
      <c r="C76" s="2" t="n">
        <v>15</v>
      </c>
      <c r="D76" s="2" t="n">
        <v>3.98</v>
      </c>
      <c r="E76" s="2" t="n">
        <v>6.6</v>
      </c>
      <c r="F76" s="2" t="n">
        <v>31.1</v>
      </c>
      <c r="G76" s="2" t="n">
        <v>0.13</v>
      </c>
      <c r="H76" s="2" t="n">
        <v>0.06</v>
      </c>
      <c r="I76" s="2" t="n">
        <v>34.5</v>
      </c>
      <c r="J76" s="2" t="n">
        <v>53</v>
      </c>
      <c r="K76" s="2" t="n">
        <v>80</v>
      </c>
      <c r="L76" s="2" t="n">
        <v>4</v>
      </c>
      <c r="M76" s="2" t="n">
        <v>9930</v>
      </c>
    </row>
    <row r="77" customFormat="false" ht="15" hidden="false" customHeight="false" outlineLevel="0" collapsed="false">
      <c r="A77" s="2" t="s">
        <v>45</v>
      </c>
      <c r="B77" s="2" t="s">
        <v>188</v>
      </c>
      <c r="C77" s="2" t="n">
        <v>16</v>
      </c>
      <c r="D77" s="2" t="n">
        <v>5.89</v>
      </c>
      <c r="E77" s="2" t="n">
        <v>6.7</v>
      </c>
      <c r="F77" s="2" t="n">
        <v>27.63</v>
      </c>
      <c r="G77" s="2" t="n">
        <v>0.06</v>
      </c>
      <c r="H77" s="2" t="n">
        <v>0.03</v>
      </c>
      <c r="I77" s="2" t="n">
        <v>34.13</v>
      </c>
      <c r="J77" s="2" t="n">
        <v>52</v>
      </c>
      <c r="K77" s="2" t="n">
        <v>100</v>
      </c>
      <c r="L77" s="2" t="n">
        <v>8</v>
      </c>
      <c r="M77" s="2" t="n">
        <v>3566.67</v>
      </c>
    </row>
    <row r="78" customFormat="false" ht="15" hidden="false" customHeight="false" outlineLevel="0" collapsed="false">
      <c r="A78" s="2" t="s">
        <v>45</v>
      </c>
      <c r="B78" s="2" t="s">
        <v>188</v>
      </c>
      <c r="C78" s="2" t="n">
        <v>17</v>
      </c>
      <c r="D78" s="2" t="n">
        <v>22.4</v>
      </c>
      <c r="E78" s="2" t="n">
        <v>7.34</v>
      </c>
      <c r="F78" s="2" t="n">
        <v>26.07</v>
      </c>
      <c r="G78" s="2" t="n">
        <v>0.18</v>
      </c>
      <c r="H78" s="2" t="n">
        <v>0.09</v>
      </c>
      <c r="I78" s="2" t="n">
        <v>33.87</v>
      </c>
      <c r="J78" s="2" t="n">
        <v>52</v>
      </c>
      <c r="K78" s="2" t="n">
        <v>80</v>
      </c>
      <c r="L78" s="2" t="n">
        <v>4</v>
      </c>
      <c r="M78" s="2" t="n">
        <v>11542.33</v>
      </c>
    </row>
    <row r="79" customFormat="false" ht="15" hidden="false" customHeight="false" outlineLevel="0" collapsed="false">
      <c r="A79" s="2" t="s">
        <v>45</v>
      </c>
      <c r="B79" s="2" t="s">
        <v>188</v>
      </c>
      <c r="C79" s="2" t="n">
        <v>18</v>
      </c>
      <c r="D79" s="2" t="n">
        <v>14.56</v>
      </c>
      <c r="E79" s="2" t="n">
        <v>7.73</v>
      </c>
      <c r="F79" s="2" t="n">
        <v>25.9</v>
      </c>
      <c r="G79" s="2" t="n">
        <v>0.08</v>
      </c>
      <c r="H79" s="2" t="n">
        <v>0.03</v>
      </c>
      <c r="I79" s="2" t="n">
        <v>33.17</v>
      </c>
      <c r="J79" s="2" t="n">
        <v>55</v>
      </c>
      <c r="K79" s="2" t="n">
        <v>100</v>
      </c>
      <c r="L79" s="2" t="n">
        <v>6</v>
      </c>
      <c r="M79" s="2" t="n">
        <v>936.33</v>
      </c>
    </row>
    <row r="80" customFormat="false" ht="15" hidden="false" customHeight="false" outlineLevel="0" collapsed="false">
      <c r="A80" s="2" t="s">
        <v>45</v>
      </c>
      <c r="B80" s="2" t="s">
        <v>188</v>
      </c>
      <c r="C80" s="2" t="n">
        <v>19</v>
      </c>
      <c r="D80" s="2" t="n">
        <v>21.81</v>
      </c>
      <c r="E80" s="2" t="n">
        <v>7.81</v>
      </c>
      <c r="F80" s="2" t="n">
        <v>25.73</v>
      </c>
      <c r="G80" s="2" t="n">
        <v>0.13</v>
      </c>
      <c r="H80" s="2" t="n">
        <v>0.06</v>
      </c>
      <c r="I80" s="2" t="n">
        <v>32.57</v>
      </c>
      <c r="J80" s="2" t="n">
        <v>57.33</v>
      </c>
      <c r="K80" s="2" t="n">
        <v>80</v>
      </c>
      <c r="L80" s="2" t="n">
        <v>3</v>
      </c>
      <c r="M80" s="2" t="n">
        <v>684</v>
      </c>
    </row>
    <row r="81" customFormat="false" ht="15" hidden="false" customHeight="false" outlineLevel="0" collapsed="false">
      <c r="A81" s="2" t="s">
        <v>45</v>
      </c>
      <c r="B81" s="2" t="s">
        <v>188</v>
      </c>
      <c r="C81" s="2" t="n">
        <v>20</v>
      </c>
      <c r="D81" s="2" t="n">
        <v>48.29</v>
      </c>
      <c r="E81" s="2" t="n">
        <v>7.87</v>
      </c>
      <c r="F81" s="2" t="n">
        <v>25.63</v>
      </c>
      <c r="G81" s="2" t="n">
        <v>0.12</v>
      </c>
      <c r="H81" s="2" t="n">
        <v>0.06</v>
      </c>
      <c r="I81" s="2" t="n">
        <v>32.8</v>
      </c>
      <c r="J81" s="2" t="n">
        <v>59</v>
      </c>
      <c r="K81" s="2" t="n">
        <v>50</v>
      </c>
      <c r="L81" s="2" t="n">
        <v>4</v>
      </c>
      <c r="M81" s="2" t="n">
        <v>4948.33</v>
      </c>
    </row>
    <row r="82" customFormat="false" ht="15" hidden="false" customHeight="false" outlineLevel="0" collapsed="false">
      <c r="A82" s="2" t="s">
        <v>64</v>
      </c>
      <c r="B82" s="2" t="s">
        <v>187</v>
      </c>
      <c r="C82" s="2" t="n">
        <v>1</v>
      </c>
      <c r="D82" s="2" t="n">
        <v>39.29</v>
      </c>
      <c r="E82" s="2" t="n">
        <v>8.12</v>
      </c>
      <c r="F82" s="2" t="n">
        <v>26.13</v>
      </c>
      <c r="G82" s="2" t="n">
        <v>0.09</v>
      </c>
      <c r="H82" s="2" t="n">
        <v>0.04</v>
      </c>
      <c r="I82" s="2" t="n">
        <v>29.9</v>
      </c>
      <c r="J82" s="2" t="n">
        <v>84.67</v>
      </c>
      <c r="K82" s="2" t="n">
        <v>25</v>
      </c>
      <c r="L82" s="2" t="n">
        <v>1</v>
      </c>
      <c r="M82" s="2" t="n">
        <v>434.5</v>
      </c>
    </row>
    <row r="83" customFormat="false" ht="15" hidden="false" customHeight="false" outlineLevel="0" collapsed="false">
      <c r="A83" s="2" t="s">
        <v>64</v>
      </c>
      <c r="B83" s="2" t="s">
        <v>187</v>
      </c>
      <c r="C83" s="2" t="n">
        <v>2</v>
      </c>
      <c r="D83" s="2" t="n">
        <v>64.17</v>
      </c>
      <c r="E83" s="2" t="n">
        <v>7.92</v>
      </c>
      <c r="F83" s="2" t="n">
        <v>25.93</v>
      </c>
      <c r="G83" s="2" t="n">
        <v>0.03</v>
      </c>
      <c r="H83" s="2" t="n">
        <v>0.01</v>
      </c>
      <c r="I83" s="2" t="n">
        <v>29.97</v>
      </c>
      <c r="J83" s="2" t="n">
        <v>84.67</v>
      </c>
      <c r="K83" s="2" t="n">
        <v>10</v>
      </c>
      <c r="L83" s="2" t="n">
        <v>2</v>
      </c>
      <c r="M83" s="2" t="n">
        <v>448</v>
      </c>
    </row>
    <row r="84" customFormat="false" ht="15" hidden="false" customHeight="false" outlineLevel="0" collapsed="false">
      <c r="A84" s="2" t="s">
        <v>64</v>
      </c>
      <c r="B84" s="2" t="s">
        <v>187</v>
      </c>
      <c r="C84" s="2" t="n">
        <v>3</v>
      </c>
      <c r="D84" s="2" t="n">
        <v>35.44</v>
      </c>
      <c r="E84" s="2" t="n">
        <v>7.83</v>
      </c>
      <c r="F84" s="2" t="n">
        <v>25.97</v>
      </c>
      <c r="G84" s="2" t="n">
        <v>0.04</v>
      </c>
      <c r="H84" s="2" t="n">
        <v>0.02</v>
      </c>
      <c r="I84" s="2" t="n">
        <v>29.8</v>
      </c>
      <c r="J84" s="2" t="n">
        <v>86</v>
      </c>
      <c r="K84" s="2" t="n">
        <v>10</v>
      </c>
      <c r="L84" s="2" t="n">
        <v>1</v>
      </c>
      <c r="M84" s="2" t="n">
        <v>5748.5</v>
      </c>
    </row>
    <row r="85" customFormat="false" ht="15" hidden="false" customHeight="false" outlineLevel="0" collapsed="false">
      <c r="A85" s="2" t="s">
        <v>64</v>
      </c>
      <c r="B85" s="2" t="s">
        <v>187</v>
      </c>
      <c r="C85" s="2" t="n">
        <v>4</v>
      </c>
      <c r="D85" s="2" t="n">
        <v>60.73</v>
      </c>
      <c r="E85" s="2" t="n">
        <v>7.62</v>
      </c>
      <c r="F85" s="2" t="n">
        <v>26</v>
      </c>
      <c r="G85" s="2" t="n">
        <v>0.01</v>
      </c>
      <c r="H85" s="2" t="n">
        <v>0</v>
      </c>
      <c r="I85" s="2" t="n">
        <v>29.9</v>
      </c>
      <c r="J85" s="2" t="n">
        <v>88.67</v>
      </c>
      <c r="K85" s="2" t="n">
        <v>40</v>
      </c>
      <c r="L85" s="2" t="n">
        <v>2</v>
      </c>
      <c r="M85" s="2" t="n">
        <v>862.5</v>
      </c>
    </row>
    <row r="86" customFormat="false" ht="15" hidden="false" customHeight="false" outlineLevel="0" collapsed="false">
      <c r="A86" s="2" t="s">
        <v>64</v>
      </c>
      <c r="B86" s="2" t="s">
        <v>187</v>
      </c>
      <c r="C86" s="2" t="n">
        <v>5</v>
      </c>
      <c r="D86" s="2" t="n">
        <v>33.33</v>
      </c>
      <c r="E86" s="2" t="n">
        <v>7.7</v>
      </c>
      <c r="F86" s="2" t="n">
        <v>26.2</v>
      </c>
      <c r="G86" s="2" t="n">
        <v>0.04</v>
      </c>
      <c r="H86" s="2" t="n">
        <v>0.02</v>
      </c>
      <c r="I86" s="2" t="n">
        <v>30.07</v>
      </c>
      <c r="J86" s="2" t="n">
        <v>87</v>
      </c>
      <c r="K86" s="2" t="n">
        <v>20</v>
      </c>
      <c r="L86" s="2" t="n">
        <v>2</v>
      </c>
      <c r="M86" s="2" t="n">
        <v>1050.5</v>
      </c>
    </row>
    <row r="87" customFormat="false" ht="15" hidden="false" customHeight="false" outlineLevel="0" collapsed="false">
      <c r="A87" s="2" t="s">
        <v>64</v>
      </c>
      <c r="B87" s="2" t="s">
        <v>187</v>
      </c>
      <c r="C87" s="2" t="n">
        <v>6</v>
      </c>
      <c r="D87" s="2" t="n">
        <v>32.96</v>
      </c>
      <c r="E87" s="2" t="n">
        <v>8.47</v>
      </c>
      <c r="F87" s="2" t="n">
        <v>26.17</v>
      </c>
      <c r="G87" s="2" t="n">
        <v>0.07</v>
      </c>
      <c r="H87" s="2" t="n">
        <v>0.04</v>
      </c>
      <c r="I87" s="2" t="n">
        <v>29.47</v>
      </c>
      <c r="J87" s="2" t="n">
        <v>87.33</v>
      </c>
      <c r="K87" s="2" t="n">
        <v>0</v>
      </c>
      <c r="L87" s="2" t="n">
        <v>0</v>
      </c>
      <c r="M87" s="2" t="n">
        <v>505</v>
      </c>
    </row>
    <row r="88" customFormat="false" ht="15" hidden="false" customHeight="false" outlineLevel="0" collapsed="false">
      <c r="A88" s="2" t="s">
        <v>64</v>
      </c>
      <c r="B88" s="2" t="s">
        <v>187</v>
      </c>
      <c r="C88" s="2" t="n">
        <v>7</v>
      </c>
      <c r="D88" s="2" t="n">
        <v>63.46</v>
      </c>
      <c r="E88" s="2" t="n">
        <v>8.12</v>
      </c>
      <c r="F88" s="2" t="n">
        <v>26.1</v>
      </c>
      <c r="G88" s="2" t="n">
        <v>0.07</v>
      </c>
      <c r="H88" s="2" t="n">
        <v>0.04</v>
      </c>
      <c r="I88" s="2" t="n">
        <v>29.57</v>
      </c>
      <c r="J88" s="2" t="n">
        <v>86.67</v>
      </c>
      <c r="K88" s="2" t="n">
        <v>20</v>
      </c>
      <c r="L88" s="2" t="n">
        <v>1</v>
      </c>
      <c r="M88" s="2" t="n">
        <v>220.5</v>
      </c>
    </row>
    <row r="89" customFormat="false" ht="15" hidden="false" customHeight="false" outlineLevel="0" collapsed="false">
      <c r="A89" s="2" t="s">
        <v>64</v>
      </c>
      <c r="B89" s="2" t="s">
        <v>187</v>
      </c>
      <c r="C89" s="2" t="n">
        <v>8</v>
      </c>
      <c r="D89" s="2" t="n">
        <v>24.81</v>
      </c>
      <c r="E89" s="2" t="n">
        <v>7.77</v>
      </c>
      <c r="F89" s="2" t="n">
        <v>26.27</v>
      </c>
      <c r="G89" s="2" t="n">
        <v>0.05</v>
      </c>
      <c r="H89" s="2" t="n">
        <v>0.02</v>
      </c>
      <c r="I89" s="2" t="n">
        <v>29.63</v>
      </c>
      <c r="J89" s="2" t="n">
        <v>88.33</v>
      </c>
      <c r="K89" s="2" t="n">
        <v>10</v>
      </c>
      <c r="L89" s="2" t="n">
        <v>2</v>
      </c>
      <c r="M89" s="2" t="n">
        <v>752</v>
      </c>
    </row>
    <row r="90" customFormat="false" ht="15" hidden="false" customHeight="false" outlineLevel="0" collapsed="false">
      <c r="A90" s="2" t="s">
        <v>64</v>
      </c>
      <c r="B90" s="2" t="s">
        <v>187</v>
      </c>
      <c r="C90" s="2" t="n">
        <v>9</v>
      </c>
      <c r="D90" s="2" t="n">
        <v>33.19</v>
      </c>
      <c r="E90" s="2" t="n">
        <v>6.88</v>
      </c>
      <c r="F90" s="2" t="n">
        <v>26.73</v>
      </c>
      <c r="G90" s="2" t="n">
        <v>0.01</v>
      </c>
      <c r="H90" s="2" t="n">
        <v>0</v>
      </c>
      <c r="I90" s="2" t="n">
        <v>30</v>
      </c>
      <c r="J90" s="2" t="n">
        <v>88.67</v>
      </c>
      <c r="K90" s="2" t="n">
        <v>90</v>
      </c>
      <c r="L90" s="2" t="n">
        <v>3</v>
      </c>
      <c r="M90" s="2" t="n">
        <v>423</v>
      </c>
    </row>
    <row r="91" customFormat="false" ht="15" hidden="false" customHeight="false" outlineLevel="0" collapsed="false">
      <c r="A91" s="2" t="s">
        <v>64</v>
      </c>
      <c r="B91" s="2" t="s">
        <v>187</v>
      </c>
      <c r="C91" s="2" t="n">
        <v>10</v>
      </c>
      <c r="D91" s="2" t="n">
        <v>27.94</v>
      </c>
      <c r="E91" s="2" t="n">
        <v>6.76</v>
      </c>
      <c r="F91" s="2" t="n">
        <v>27.07</v>
      </c>
      <c r="G91" s="2" t="n">
        <v>0.03</v>
      </c>
      <c r="H91" s="2" t="n">
        <v>0.01</v>
      </c>
      <c r="I91" s="2" t="n">
        <v>29.7</v>
      </c>
      <c r="J91" s="2" t="n">
        <v>87</v>
      </c>
      <c r="K91" s="2" t="n">
        <v>10</v>
      </c>
      <c r="L91" s="2" t="n">
        <v>5</v>
      </c>
      <c r="M91" s="2" t="n">
        <v>301</v>
      </c>
    </row>
    <row r="92" customFormat="false" ht="15" hidden="false" customHeight="false" outlineLevel="0" collapsed="false">
      <c r="A92" s="2" t="s">
        <v>64</v>
      </c>
      <c r="B92" s="2" t="s">
        <v>187</v>
      </c>
      <c r="C92" s="2" t="n">
        <v>11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" hidden="false" customHeight="false" outlineLevel="0" collapsed="false">
      <c r="A93" s="2" t="s">
        <v>64</v>
      </c>
      <c r="B93" s="2" t="s">
        <v>187</v>
      </c>
      <c r="C93" s="2" t="n">
        <v>12</v>
      </c>
      <c r="D93" s="2"/>
      <c r="E93" s="2"/>
      <c r="F93" s="2"/>
      <c r="G93" s="2"/>
      <c r="H93" s="2"/>
      <c r="I93" s="2"/>
      <c r="J93" s="2"/>
      <c r="K93" s="2"/>
      <c r="L93" s="2"/>
      <c r="M93" s="2"/>
    </row>
    <row r="94" customFormat="false" ht="15" hidden="false" customHeight="false" outlineLevel="0" collapsed="false">
      <c r="A94" s="2" t="s">
        <v>64</v>
      </c>
      <c r="B94" s="2" t="s">
        <v>187</v>
      </c>
      <c r="C94" s="2" t="n">
        <v>13</v>
      </c>
      <c r="D94" s="2"/>
      <c r="E94" s="2"/>
      <c r="F94" s="2"/>
      <c r="G94" s="2"/>
      <c r="H94" s="2"/>
      <c r="I94" s="2"/>
      <c r="J94" s="2"/>
      <c r="K94" s="2"/>
      <c r="L94" s="2"/>
      <c r="M94" s="2"/>
    </row>
    <row r="95" customFormat="false" ht="15" hidden="false" customHeight="false" outlineLevel="0" collapsed="false">
      <c r="A95" s="2" t="s">
        <v>64</v>
      </c>
      <c r="B95" s="2" t="s">
        <v>187</v>
      </c>
      <c r="C95" s="2" t="n">
        <v>14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customFormat="false" ht="15" hidden="false" customHeight="false" outlineLevel="0" collapsed="false">
      <c r="A96" s="2" t="s">
        <v>64</v>
      </c>
      <c r="B96" s="2" t="s">
        <v>187</v>
      </c>
      <c r="C96" s="2" t="n">
        <v>15</v>
      </c>
      <c r="D96" s="2"/>
      <c r="E96" s="2"/>
      <c r="F96" s="2"/>
      <c r="G96" s="2"/>
      <c r="H96" s="2"/>
      <c r="I96" s="2"/>
      <c r="J96" s="2"/>
      <c r="K96" s="2"/>
      <c r="L96" s="2"/>
      <c r="M96" s="2"/>
    </row>
    <row r="97" customFormat="false" ht="15" hidden="false" customHeight="false" outlineLevel="0" collapsed="false">
      <c r="A97" s="2" t="s">
        <v>64</v>
      </c>
      <c r="B97" s="2" t="s">
        <v>187</v>
      </c>
      <c r="C97" s="2" t="n">
        <v>16</v>
      </c>
      <c r="D97" s="2"/>
      <c r="E97" s="2"/>
      <c r="F97" s="2"/>
      <c r="G97" s="2"/>
      <c r="H97" s="2"/>
      <c r="I97" s="2"/>
      <c r="J97" s="2"/>
      <c r="K97" s="2"/>
      <c r="L97" s="2"/>
      <c r="M97" s="2"/>
    </row>
    <row r="98" customFormat="false" ht="15" hidden="false" customHeight="false" outlineLevel="0" collapsed="false">
      <c r="A98" s="2" t="s">
        <v>64</v>
      </c>
      <c r="B98" s="2" t="s">
        <v>187</v>
      </c>
      <c r="C98" s="2" t="n">
        <v>17</v>
      </c>
      <c r="D98" s="2"/>
      <c r="E98" s="2"/>
      <c r="F98" s="2"/>
      <c r="G98" s="2"/>
      <c r="H98" s="2"/>
      <c r="I98" s="2"/>
      <c r="J98" s="2"/>
      <c r="K98" s="2"/>
      <c r="L98" s="2"/>
      <c r="M98" s="2"/>
    </row>
    <row r="99" customFormat="false" ht="15" hidden="false" customHeight="false" outlineLevel="0" collapsed="false">
      <c r="A99" s="2" t="s">
        <v>64</v>
      </c>
      <c r="B99" s="2" t="s">
        <v>187</v>
      </c>
      <c r="C99" s="2" t="n">
        <v>18</v>
      </c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customFormat="false" ht="15" hidden="false" customHeight="false" outlineLevel="0" collapsed="false">
      <c r="A100" s="2" t="s">
        <v>64</v>
      </c>
      <c r="B100" s="2" t="s">
        <v>187</v>
      </c>
      <c r="C100" s="2" t="n">
        <v>19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customFormat="false" ht="15" hidden="false" customHeight="false" outlineLevel="0" collapsed="false">
      <c r="A101" s="2" t="s">
        <v>64</v>
      </c>
      <c r="B101" s="2" t="s">
        <v>187</v>
      </c>
      <c r="C101" s="2" t="n">
        <v>20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customFormat="false" ht="15" hidden="false" customHeight="false" outlineLevel="0" collapsed="false">
      <c r="A102" s="2" t="s">
        <v>64</v>
      </c>
      <c r="B102" s="2" t="s">
        <v>188</v>
      </c>
      <c r="C102" s="2" t="n">
        <v>1</v>
      </c>
      <c r="D102" s="2" t="n">
        <v>9.33</v>
      </c>
      <c r="E102" s="2" t="n">
        <v>6.62</v>
      </c>
      <c r="F102" s="2" t="n">
        <v>24.87</v>
      </c>
      <c r="G102" s="2" t="n">
        <v>0.02</v>
      </c>
      <c r="H102" s="2" t="n">
        <v>0.01</v>
      </c>
      <c r="I102" s="2" t="n">
        <v>31.23</v>
      </c>
      <c r="J102" s="2" t="n">
        <v>63.33</v>
      </c>
      <c r="K102" s="2" t="n">
        <v>40</v>
      </c>
      <c r="L102" s="2" t="n">
        <v>3</v>
      </c>
      <c r="M102" s="2" t="n">
        <v>428.33</v>
      </c>
    </row>
    <row r="103" customFormat="false" ht="15" hidden="false" customHeight="false" outlineLevel="0" collapsed="false">
      <c r="A103" s="2" t="s">
        <v>64</v>
      </c>
      <c r="B103" s="2" t="s">
        <v>188</v>
      </c>
      <c r="C103" s="2" t="n">
        <v>2</v>
      </c>
      <c r="D103" s="2" t="n">
        <v>26.24</v>
      </c>
      <c r="E103" s="2" t="n">
        <v>6.76</v>
      </c>
      <c r="F103" s="2" t="n">
        <v>25.03</v>
      </c>
      <c r="G103" s="2" t="n">
        <v>0.08</v>
      </c>
      <c r="H103" s="2" t="n">
        <v>0.04</v>
      </c>
      <c r="I103" s="2" t="n">
        <v>31.37</v>
      </c>
      <c r="J103" s="2" t="n">
        <v>67</v>
      </c>
      <c r="K103" s="2" t="n">
        <v>100</v>
      </c>
      <c r="L103" s="2" t="n">
        <v>5</v>
      </c>
      <c r="M103" s="2" t="n">
        <v>659.67</v>
      </c>
    </row>
    <row r="104" customFormat="false" ht="15" hidden="false" customHeight="false" outlineLevel="0" collapsed="false">
      <c r="A104" s="2" t="s">
        <v>64</v>
      </c>
      <c r="B104" s="2" t="s">
        <v>188</v>
      </c>
      <c r="C104" s="2" t="n">
        <v>3</v>
      </c>
      <c r="D104" s="2" t="n">
        <v>25.68</v>
      </c>
      <c r="E104" s="2" t="n">
        <v>6.79</v>
      </c>
      <c r="F104" s="2" t="n">
        <v>24.97</v>
      </c>
      <c r="G104" s="2" t="n">
        <v>0.04</v>
      </c>
      <c r="H104" s="2" t="n">
        <v>0.02</v>
      </c>
      <c r="I104" s="2" t="n">
        <v>31.23</v>
      </c>
      <c r="J104" s="2" t="n">
        <v>68</v>
      </c>
      <c r="K104" s="2" t="n">
        <v>20</v>
      </c>
      <c r="L104" s="2" t="n">
        <v>2</v>
      </c>
      <c r="M104" s="2" t="n">
        <v>1141</v>
      </c>
    </row>
    <row r="105" customFormat="false" ht="15" hidden="false" customHeight="false" outlineLevel="0" collapsed="false">
      <c r="A105" s="2" t="s">
        <v>64</v>
      </c>
      <c r="B105" s="2" t="s">
        <v>188</v>
      </c>
      <c r="C105" s="2" t="n">
        <v>4</v>
      </c>
      <c r="D105" s="2" t="n">
        <v>20.3</v>
      </c>
      <c r="E105" s="2" t="n">
        <v>6.84</v>
      </c>
      <c r="F105" s="2" t="n">
        <v>24.7</v>
      </c>
      <c r="G105" s="2" t="n">
        <v>0.05</v>
      </c>
      <c r="H105" s="2" t="n">
        <v>0.02</v>
      </c>
      <c r="I105" s="2" t="n">
        <v>31.17</v>
      </c>
      <c r="J105" s="2" t="n">
        <v>65</v>
      </c>
      <c r="K105" s="2" t="n">
        <v>40</v>
      </c>
      <c r="L105" s="2" t="n">
        <v>2</v>
      </c>
      <c r="M105" s="2" t="n">
        <v>404</v>
      </c>
    </row>
    <row r="106" customFormat="false" ht="15" hidden="false" customHeight="false" outlineLevel="0" collapsed="false">
      <c r="A106" s="2" t="s">
        <v>64</v>
      </c>
      <c r="B106" s="2" t="s">
        <v>188</v>
      </c>
      <c r="C106" s="2" t="n">
        <v>5</v>
      </c>
      <c r="D106" s="2" t="n">
        <v>8.97</v>
      </c>
      <c r="E106" s="2" t="n">
        <v>6.8</v>
      </c>
      <c r="F106" s="2" t="n">
        <v>25.2</v>
      </c>
      <c r="G106" s="2" t="n">
        <v>0.02</v>
      </c>
      <c r="H106" s="2" t="n">
        <v>0.01</v>
      </c>
      <c r="I106" s="2" t="n">
        <v>30.97</v>
      </c>
      <c r="J106" s="2" t="n">
        <v>67</v>
      </c>
      <c r="K106" s="2" t="n">
        <v>80</v>
      </c>
      <c r="L106" s="2" t="n">
        <v>6</v>
      </c>
      <c r="M106" s="2" t="n">
        <v>723.67</v>
      </c>
    </row>
    <row r="107" customFormat="false" ht="15" hidden="false" customHeight="false" outlineLevel="0" collapsed="false">
      <c r="A107" s="2" t="s">
        <v>64</v>
      </c>
      <c r="B107" s="2" t="s">
        <v>188</v>
      </c>
      <c r="C107" s="2" t="n">
        <v>6</v>
      </c>
      <c r="D107" s="2" t="n">
        <v>5.87</v>
      </c>
      <c r="E107" s="2" t="n">
        <v>6.97</v>
      </c>
      <c r="F107" s="2" t="n">
        <v>25.4</v>
      </c>
      <c r="G107" s="2" t="n">
        <v>0</v>
      </c>
      <c r="H107" s="2" t="n">
        <v>0</v>
      </c>
      <c r="I107" s="2" t="n">
        <v>31.17</v>
      </c>
      <c r="J107" s="2" t="n">
        <v>65.67</v>
      </c>
      <c r="K107" s="2" t="n">
        <v>15</v>
      </c>
      <c r="L107" s="2" t="n">
        <v>2</v>
      </c>
      <c r="M107" s="2" t="n">
        <v>622.33</v>
      </c>
    </row>
    <row r="108" customFormat="false" ht="15" hidden="false" customHeight="false" outlineLevel="0" collapsed="false">
      <c r="A108" s="2" t="s">
        <v>64</v>
      </c>
      <c r="B108" s="2" t="s">
        <v>188</v>
      </c>
      <c r="C108" s="2" t="n">
        <v>7</v>
      </c>
      <c r="D108" s="2" t="n">
        <v>20.16</v>
      </c>
      <c r="E108" s="2" t="n">
        <v>6.68</v>
      </c>
      <c r="F108" s="2" t="n">
        <v>25.2</v>
      </c>
      <c r="G108" s="2" t="n">
        <v>0.07</v>
      </c>
      <c r="H108" s="2" t="n">
        <v>0.03</v>
      </c>
      <c r="I108" s="2" t="n">
        <v>31.37</v>
      </c>
      <c r="J108" s="2" t="n">
        <v>65</v>
      </c>
      <c r="K108" s="2" t="n">
        <v>100</v>
      </c>
      <c r="L108" s="2" t="n">
        <v>6</v>
      </c>
      <c r="M108" s="2" t="n">
        <v>434.67</v>
      </c>
    </row>
    <row r="109" customFormat="false" ht="15" hidden="false" customHeight="false" outlineLevel="0" collapsed="false">
      <c r="A109" s="2" t="s">
        <v>64</v>
      </c>
      <c r="B109" s="2" t="s">
        <v>188</v>
      </c>
      <c r="C109" s="2" t="n">
        <v>8</v>
      </c>
      <c r="D109" s="2" t="n">
        <v>14.22</v>
      </c>
      <c r="E109" s="2" t="n">
        <v>6.94</v>
      </c>
      <c r="F109" s="2" t="n">
        <v>25.2</v>
      </c>
      <c r="G109" s="2" t="n">
        <v>0.01</v>
      </c>
      <c r="H109" s="2" t="n">
        <v>0</v>
      </c>
      <c r="I109" s="2" t="n">
        <v>31.4</v>
      </c>
      <c r="J109" s="2" t="n">
        <v>65.67</v>
      </c>
      <c r="K109" s="2" t="n">
        <v>100</v>
      </c>
      <c r="L109" s="2" t="n">
        <v>2</v>
      </c>
      <c r="M109" s="2" t="n">
        <v>752.33</v>
      </c>
    </row>
    <row r="110" customFormat="false" ht="15" hidden="false" customHeight="false" outlineLevel="0" collapsed="false">
      <c r="A110" s="2" t="s">
        <v>64</v>
      </c>
      <c r="B110" s="2" t="s">
        <v>188</v>
      </c>
      <c r="C110" s="2" t="n">
        <v>9</v>
      </c>
      <c r="D110" s="2" t="n">
        <v>12.45</v>
      </c>
      <c r="E110" s="2" t="n">
        <v>6.98</v>
      </c>
      <c r="F110" s="2" t="n">
        <v>25.33</v>
      </c>
      <c r="G110" s="2" t="n">
        <v>0</v>
      </c>
      <c r="H110" s="2" t="n">
        <v>0</v>
      </c>
      <c r="I110" s="2" t="n">
        <v>31.27</v>
      </c>
      <c r="J110" s="2" t="n">
        <v>66</v>
      </c>
      <c r="K110" s="2" t="n">
        <v>100</v>
      </c>
      <c r="L110" s="2" t="n">
        <v>15</v>
      </c>
      <c r="M110" s="2" t="n">
        <v>749.33</v>
      </c>
    </row>
    <row r="111" customFormat="false" ht="15" hidden="false" customHeight="false" outlineLevel="0" collapsed="false">
      <c r="A111" s="2" t="s">
        <v>64</v>
      </c>
      <c r="B111" s="2" t="s">
        <v>188</v>
      </c>
      <c r="C111" s="2" t="n">
        <v>10</v>
      </c>
      <c r="D111" s="2" t="n">
        <v>10.19</v>
      </c>
      <c r="E111" s="2" t="n">
        <v>6.95</v>
      </c>
      <c r="F111" s="2" t="n">
        <v>25.03</v>
      </c>
      <c r="G111" s="2" t="n">
        <v>0</v>
      </c>
      <c r="H111" s="2" t="n">
        <v>0</v>
      </c>
      <c r="I111" s="2" t="n">
        <v>31.2</v>
      </c>
      <c r="J111" s="2" t="n">
        <v>62.67</v>
      </c>
      <c r="K111" s="2" t="n">
        <v>80</v>
      </c>
      <c r="L111" s="2" t="n">
        <v>3</v>
      </c>
      <c r="M111" s="2" t="n">
        <v>387</v>
      </c>
    </row>
    <row r="112" customFormat="false" ht="15" hidden="false" customHeight="false" outlineLevel="0" collapsed="false">
      <c r="A112" s="2" t="s">
        <v>64</v>
      </c>
      <c r="B112" s="2" t="s">
        <v>188</v>
      </c>
      <c r="C112" s="2" t="n">
        <v>11</v>
      </c>
      <c r="D112" s="2" t="n">
        <v>2.3</v>
      </c>
      <c r="E112" s="2" t="n">
        <v>6.31</v>
      </c>
      <c r="F112" s="2" t="n">
        <v>26.4</v>
      </c>
      <c r="G112" s="2" t="n">
        <v>0.09</v>
      </c>
      <c r="H112" s="2" t="n">
        <v>0.04</v>
      </c>
      <c r="I112" s="2" t="n">
        <v>33.1</v>
      </c>
      <c r="J112" s="2" t="n">
        <v>54.67</v>
      </c>
      <c r="K112" s="2" t="n">
        <v>100</v>
      </c>
      <c r="L112" s="2" t="n">
        <v>7</v>
      </c>
      <c r="M112" s="2" t="n">
        <v>1130.33</v>
      </c>
    </row>
    <row r="113" customFormat="false" ht="15" hidden="false" customHeight="false" outlineLevel="0" collapsed="false">
      <c r="A113" s="2" t="s">
        <v>64</v>
      </c>
      <c r="B113" s="2" t="s">
        <v>188</v>
      </c>
      <c r="C113" s="2" t="n">
        <v>12</v>
      </c>
      <c r="D113" s="2" t="n">
        <v>8.49</v>
      </c>
      <c r="E113" s="2" t="n">
        <v>6.16</v>
      </c>
      <c r="F113" s="2" t="n">
        <v>26.07</v>
      </c>
      <c r="G113" s="2" t="n">
        <v>0.03</v>
      </c>
      <c r="H113" s="2" t="n">
        <v>0.02</v>
      </c>
      <c r="I113" s="2" t="n">
        <v>32.77</v>
      </c>
      <c r="J113" s="2" t="n">
        <v>56</v>
      </c>
      <c r="K113" s="2" t="n">
        <v>100</v>
      </c>
      <c r="L113" s="2" t="n">
        <v>8</v>
      </c>
      <c r="M113" s="2" t="n">
        <v>1531.67</v>
      </c>
    </row>
    <row r="114" customFormat="false" ht="15" hidden="false" customHeight="false" outlineLevel="0" collapsed="false">
      <c r="A114" s="2" t="s">
        <v>64</v>
      </c>
      <c r="B114" s="2" t="s">
        <v>188</v>
      </c>
      <c r="C114" s="2" t="n">
        <v>13</v>
      </c>
      <c r="D114" s="2" t="n">
        <v>11.79</v>
      </c>
      <c r="E114" s="2" t="n">
        <v>5.89</v>
      </c>
      <c r="F114" s="2" t="n">
        <v>26.13</v>
      </c>
      <c r="G114" s="2" t="n">
        <v>0.11</v>
      </c>
      <c r="H114" s="2" t="n">
        <v>0.05</v>
      </c>
      <c r="I114" s="2" t="n">
        <v>32.5</v>
      </c>
      <c r="J114" s="2" t="n">
        <v>54.67</v>
      </c>
      <c r="K114" s="2" t="n">
        <v>10</v>
      </c>
      <c r="L114" s="2" t="n">
        <v>1</v>
      </c>
      <c r="M114" s="2" t="n">
        <v>1797.33</v>
      </c>
    </row>
    <row r="115" customFormat="false" ht="15" hidden="false" customHeight="false" outlineLevel="0" collapsed="false">
      <c r="A115" s="2" t="s">
        <v>64</v>
      </c>
      <c r="B115" s="2" t="s">
        <v>188</v>
      </c>
      <c r="C115" s="2" t="n">
        <v>14</v>
      </c>
      <c r="D115" s="2" t="n">
        <v>8.22</v>
      </c>
      <c r="E115" s="2" t="n">
        <v>6.32</v>
      </c>
      <c r="F115" s="2" t="n">
        <v>25.83</v>
      </c>
      <c r="G115" s="2" t="n">
        <v>0.03</v>
      </c>
      <c r="H115" s="2" t="n">
        <v>0.01</v>
      </c>
      <c r="I115" s="2" t="n">
        <v>32.77</v>
      </c>
      <c r="J115" s="2" t="n">
        <v>59.33</v>
      </c>
      <c r="K115" s="2" t="n">
        <v>30</v>
      </c>
      <c r="L115" s="2" t="n">
        <v>2</v>
      </c>
      <c r="M115" s="2" t="n">
        <v>4694</v>
      </c>
    </row>
    <row r="116" customFormat="false" ht="15" hidden="false" customHeight="false" outlineLevel="0" collapsed="false">
      <c r="A116" s="2" t="s">
        <v>64</v>
      </c>
      <c r="B116" s="2" t="s">
        <v>188</v>
      </c>
      <c r="C116" s="2" t="n">
        <v>15</v>
      </c>
      <c r="D116" s="2" t="n">
        <v>5.71</v>
      </c>
      <c r="E116" s="2" t="n">
        <v>6.23</v>
      </c>
      <c r="F116" s="2" t="n">
        <v>26</v>
      </c>
      <c r="G116" s="2" t="n">
        <v>0.03</v>
      </c>
      <c r="H116" s="2" t="n">
        <v>0.01</v>
      </c>
      <c r="I116" s="2" t="n">
        <v>32.4</v>
      </c>
      <c r="J116" s="2" t="n">
        <v>59</v>
      </c>
      <c r="K116" s="2" t="n">
        <v>80</v>
      </c>
      <c r="L116" s="2" t="n">
        <v>4</v>
      </c>
      <c r="M116" s="2" t="n">
        <v>679.67</v>
      </c>
    </row>
    <row r="117" customFormat="false" ht="15" hidden="false" customHeight="false" outlineLevel="0" collapsed="false">
      <c r="A117" s="2" t="s">
        <v>64</v>
      </c>
      <c r="B117" s="2" t="s">
        <v>188</v>
      </c>
      <c r="C117" s="2" t="n">
        <v>16</v>
      </c>
      <c r="D117" s="2" t="n">
        <v>2.61</v>
      </c>
      <c r="E117" s="2" t="n">
        <v>6.18</v>
      </c>
      <c r="F117" s="2" t="n">
        <v>26.2</v>
      </c>
      <c r="G117" s="2" t="n">
        <v>0.03</v>
      </c>
      <c r="H117" s="2" t="n">
        <v>0.01</v>
      </c>
      <c r="I117" s="2" t="n">
        <v>32.17</v>
      </c>
      <c r="J117" s="2" t="n">
        <v>57</v>
      </c>
      <c r="K117" s="2" t="n">
        <v>30</v>
      </c>
      <c r="L117" s="2" t="n">
        <v>2</v>
      </c>
      <c r="M117" s="2" t="n">
        <v>954</v>
      </c>
    </row>
    <row r="118" customFormat="false" ht="15" hidden="false" customHeight="false" outlineLevel="0" collapsed="false">
      <c r="A118" s="2" t="s">
        <v>64</v>
      </c>
      <c r="B118" s="2" t="s">
        <v>188</v>
      </c>
      <c r="C118" s="2" t="n">
        <v>17</v>
      </c>
      <c r="D118" s="2" t="n">
        <v>12.38</v>
      </c>
      <c r="E118" s="2" t="n">
        <v>6.15</v>
      </c>
      <c r="F118" s="2" t="n">
        <v>26.07</v>
      </c>
      <c r="G118" s="2" t="n">
        <v>0.04</v>
      </c>
      <c r="H118" s="2" t="n">
        <v>0.02</v>
      </c>
      <c r="I118" s="2" t="n">
        <v>32</v>
      </c>
      <c r="J118" s="2" t="n">
        <v>57.33</v>
      </c>
      <c r="K118" s="2" t="n">
        <v>100</v>
      </c>
      <c r="L118" s="2" t="n">
        <v>10</v>
      </c>
      <c r="M118" s="2" t="n">
        <v>561.67</v>
      </c>
    </row>
    <row r="119" customFormat="false" ht="15" hidden="false" customHeight="false" outlineLevel="0" collapsed="false">
      <c r="A119" s="2" t="s">
        <v>64</v>
      </c>
      <c r="B119" s="2" t="s">
        <v>188</v>
      </c>
      <c r="C119" s="2" t="n">
        <v>18</v>
      </c>
      <c r="D119" s="2" t="n">
        <v>14.53</v>
      </c>
      <c r="E119" s="2" t="n">
        <v>6.26</v>
      </c>
      <c r="F119" s="2" t="n">
        <v>25.73</v>
      </c>
      <c r="G119" s="2" t="n">
        <v>0.02</v>
      </c>
      <c r="H119" s="2" t="n">
        <v>0.01</v>
      </c>
      <c r="I119" s="2" t="n">
        <v>31.9</v>
      </c>
      <c r="J119" s="2" t="n">
        <v>55.67</v>
      </c>
      <c r="K119" s="2" t="n">
        <v>100</v>
      </c>
      <c r="L119" s="2" t="n">
        <v>5</v>
      </c>
      <c r="M119" s="2" t="n">
        <v>1128.67</v>
      </c>
    </row>
    <row r="120" customFormat="false" ht="15" hidden="false" customHeight="false" outlineLevel="0" collapsed="false">
      <c r="A120" s="2" t="s">
        <v>64</v>
      </c>
      <c r="B120" s="2" t="s">
        <v>188</v>
      </c>
      <c r="C120" s="2" t="n">
        <v>19</v>
      </c>
      <c r="D120" s="2" t="n">
        <v>8.61</v>
      </c>
      <c r="E120" s="2" t="n">
        <v>6.45</v>
      </c>
      <c r="F120" s="2" t="n">
        <v>26.07</v>
      </c>
      <c r="G120" s="2" t="n">
        <v>0.03</v>
      </c>
      <c r="H120" s="2" t="n">
        <v>0.01</v>
      </c>
      <c r="I120" s="2" t="n">
        <v>32.73</v>
      </c>
      <c r="J120" s="2" t="n">
        <v>57</v>
      </c>
      <c r="K120" s="2" t="n">
        <v>100</v>
      </c>
      <c r="L120" s="2" t="n">
        <v>2</v>
      </c>
      <c r="M120" s="2" t="n">
        <v>3251</v>
      </c>
    </row>
    <row r="121" customFormat="false" ht="15" hidden="false" customHeight="false" outlineLevel="0" collapsed="false">
      <c r="A121" s="2" t="s">
        <v>64</v>
      </c>
      <c r="B121" s="2" t="s">
        <v>188</v>
      </c>
      <c r="C121" s="2" t="n">
        <v>20</v>
      </c>
      <c r="D121" s="2" t="n">
        <v>5.04</v>
      </c>
      <c r="E121" s="2" t="n">
        <v>6.37</v>
      </c>
      <c r="F121" s="2" t="n">
        <v>25.4</v>
      </c>
      <c r="G121" s="2" t="n">
        <v>0.03</v>
      </c>
      <c r="H121" s="2" t="n">
        <v>0.01</v>
      </c>
      <c r="I121" s="2" t="n">
        <v>32.33</v>
      </c>
      <c r="J121" s="2" t="n">
        <v>58</v>
      </c>
      <c r="K121" s="2" t="n">
        <v>100</v>
      </c>
      <c r="L121" s="2" t="n">
        <v>4</v>
      </c>
      <c r="M121" s="2" t="n">
        <v>847.67</v>
      </c>
    </row>
    <row r="122" customFormat="false" ht="15" hidden="false" customHeight="false" outlineLevel="0" collapsed="false">
      <c r="A122" s="2" t="s">
        <v>79</v>
      </c>
      <c r="B122" s="2" t="s">
        <v>187</v>
      </c>
      <c r="C122" s="2" t="n">
        <v>1</v>
      </c>
      <c r="D122" s="2" t="n">
        <v>35.9</v>
      </c>
      <c r="E122" s="2" t="n">
        <v>7.41</v>
      </c>
      <c r="F122" s="2" t="n">
        <v>26.13</v>
      </c>
      <c r="G122" s="2" t="n">
        <v>0.03</v>
      </c>
      <c r="H122" s="2" t="n">
        <v>0.01</v>
      </c>
      <c r="I122" s="2" t="n">
        <v>29.37</v>
      </c>
      <c r="J122" s="2" t="n">
        <v>82</v>
      </c>
      <c r="K122" s="2" t="n">
        <v>75</v>
      </c>
      <c r="L122" s="2" t="n">
        <v>2</v>
      </c>
      <c r="M122" s="2" t="n">
        <v>1541</v>
      </c>
    </row>
    <row r="123" customFormat="false" ht="15" hidden="false" customHeight="false" outlineLevel="0" collapsed="false">
      <c r="A123" s="2" t="s">
        <v>79</v>
      </c>
      <c r="B123" s="2" t="s">
        <v>187</v>
      </c>
      <c r="C123" s="2" t="n">
        <v>2</v>
      </c>
      <c r="D123" s="2" t="n">
        <v>18.25</v>
      </c>
      <c r="E123" s="2" t="n">
        <v>8.03</v>
      </c>
      <c r="F123" s="2" t="n">
        <v>25.83</v>
      </c>
      <c r="G123" s="2" t="n">
        <v>0.07</v>
      </c>
      <c r="H123" s="2" t="n">
        <v>0.03</v>
      </c>
      <c r="I123" s="2" t="n">
        <v>29.4</v>
      </c>
      <c r="J123" s="2" t="n">
        <v>84.33</v>
      </c>
      <c r="K123" s="2" t="n">
        <v>100</v>
      </c>
      <c r="L123" s="2" t="n">
        <v>2</v>
      </c>
      <c r="M123" s="2" t="n">
        <v>499.5</v>
      </c>
    </row>
    <row r="124" customFormat="false" ht="15" hidden="false" customHeight="false" outlineLevel="0" collapsed="false">
      <c r="A124" s="2" t="s">
        <v>79</v>
      </c>
      <c r="B124" s="2" t="s">
        <v>187</v>
      </c>
      <c r="C124" s="2" t="n">
        <v>3</v>
      </c>
      <c r="D124" s="2" t="n">
        <v>9.69</v>
      </c>
      <c r="E124" s="2" t="n">
        <v>7.69</v>
      </c>
      <c r="F124" s="2" t="n">
        <v>25.87</v>
      </c>
      <c r="G124" s="2" t="n">
        <v>0.02</v>
      </c>
      <c r="H124" s="2" t="n">
        <v>0.01</v>
      </c>
      <c r="I124" s="2" t="n">
        <v>29.27</v>
      </c>
      <c r="J124" s="2" t="n">
        <v>86.33</v>
      </c>
      <c r="K124" s="2" t="n">
        <v>10</v>
      </c>
      <c r="L124" s="2" t="n">
        <v>2</v>
      </c>
      <c r="M124" s="2" t="n">
        <v>1007.5</v>
      </c>
    </row>
    <row r="125" customFormat="false" ht="15" hidden="false" customHeight="false" outlineLevel="0" collapsed="false">
      <c r="A125" s="2" t="s">
        <v>79</v>
      </c>
      <c r="B125" s="2" t="s">
        <v>187</v>
      </c>
      <c r="C125" s="2" t="n">
        <v>4</v>
      </c>
      <c r="D125" s="2" t="n">
        <v>29.23</v>
      </c>
      <c r="E125" s="2" t="n">
        <v>7.69</v>
      </c>
      <c r="F125" s="2" t="n">
        <v>26.07</v>
      </c>
      <c r="G125" s="2" t="n">
        <v>0.02</v>
      </c>
      <c r="H125" s="2" t="n">
        <v>0</v>
      </c>
      <c r="I125" s="2" t="n">
        <v>32.5</v>
      </c>
      <c r="J125" s="2" t="n">
        <v>86.33</v>
      </c>
      <c r="K125" s="2" t="n">
        <v>75</v>
      </c>
      <c r="L125" s="2" t="n">
        <v>2</v>
      </c>
      <c r="M125" s="2" t="n">
        <v>1968</v>
      </c>
    </row>
    <row r="126" customFormat="false" ht="15" hidden="false" customHeight="false" outlineLevel="0" collapsed="false">
      <c r="A126" s="2" t="s">
        <v>79</v>
      </c>
      <c r="B126" s="2" t="s">
        <v>187</v>
      </c>
      <c r="C126" s="2" t="n">
        <v>5</v>
      </c>
      <c r="D126" s="2" t="n">
        <v>33</v>
      </c>
      <c r="E126" s="2" t="n">
        <v>7.74</v>
      </c>
      <c r="F126" s="2" t="n">
        <v>25.6</v>
      </c>
      <c r="G126" s="2" t="n">
        <v>0.12</v>
      </c>
      <c r="H126" s="2" t="n">
        <v>0.05</v>
      </c>
      <c r="I126" s="2" t="n">
        <v>29.27</v>
      </c>
      <c r="J126" s="2" t="n">
        <v>86.33</v>
      </c>
      <c r="K126" s="2" t="n">
        <v>75</v>
      </c>
      <c r="L126" s="2" t="n">
        <v>2</v>
      </c>
      <c r="M126" s="2" t="n">
        <v>942</v>
      </c>
    </row>
    <row r="127" customFormat="false" ht="15" hidden="false" customHeight="false" outlineLevel="0" collapsed="false">
      <c r="A127" s="2" t="s">
        <v>79</v>
      </c>
      <c r="B127" s="2" t="s">
        <v>187</v>
      </c>
      <c r="C127" s="2" t="n">
        <v>6</v>
      </c>
      <c r="D127" s="2" t="n">
        <v>25.56</v>
      </c>
      <c r="E127" s="2" t="n">
        <v>7.84</v>
      </c>
      <c r="F127" s="2" t="n">
        <v>26.2</v>
      </c>
      <c r="G127" s="2" t="n">
        <v>0.05</v>
      </c>
      <c r="H127" s="2" t="n">
        <v>0.02</v>
      </c>
      <c r="I127" s="2" t="n">
        <v>29.27</v>
      </c>
      <c r="J127" s="2" t="n">
        <v>86.33</v>
      </c>
      <c r="K127" s="2" t="n">
        <v>75</v>
      </c>
      <c r="L127" s="2" t="n">
        <v>2</v>
      </c>
      <c r="M127" s="2" t="n">
        <v>1335</v>
      </c>
    </row>
    <row r="128" customFormat="false" ht="15" hidden="false" customHeight="false" outlineLevel="0" collapsed="false">
      <c r="A128" s="2" t="s">
        <v>79</v>
      </c>
      <c r="B128" s="2" t="s">
        <v>187</v>
      </c>
      <c r="C128" s="2" t="n">
        <v>7</v>
      </c>
      <c r="D128" s="2" t="n">
        <v>23.2</v>
      </c>
      <c r="E128" s="2" t="n">
        <v>7.81</v>
      </c>
      <c r="F128" s="2" t="n">
        <v>25.9</v>
      </c>
      <c r="G128" s="2" t="n">
        <v>0.88</v>
      </c>
      <c r="H128" s="2" t="n">
        <v>0.45</v>
      </c>
      <c r="I128" s="2" t="n">
        <v>29.53</v>
      </c>
      <c r="J128" s="2" t="n">
        <v>88.33</v>
      </c>
      <c r="K128" s="2" t="n">
        <v>50</v>
      </c>
      <c r="L128" s="2" t="n">
        <v>2</v>
      </c>
      <c r="M128" s="2" t="n">
        <v>2433.5</v>
      </c>
    </row>
    <row r="129" customFormat="false" ht="15" hidden="false" customHeight="false" outlineLevel="0" collapsed="false">
      <c r="A129" s="2" t="s">
        <v>79</v>
      </c>
      <c r="B129" s="2" t="s">
        <v>187</v>
      </c>
      <c r="C129" s="2" t="n">
        <v>8</v>
      </c>
      <c r="D129" s="2" t="n">
        <v>24.26</v>
      </c>
      <c r="E129" s="2" t="n">
        <v>7.76</v>
      </c>
      <c r="F129" s="2" t="n">
        <v>26.23</v>
      </c>
      <c r="G129" s="2" t="n">
        <v>0.05</v>
      </c>
      <c r="H129" s="2" t="n">
        <v>0.03</v>
      </c>
      <c r="I129" s="2" t="n">
        <v>29.73</v>
      </c>
      <c r="J129" s="2" t="n">
        <v>86.33</v>
      </c>
      <c r="K129" s="2" t="n">
        <v>75</v>
      </c>
      <c r="L129" s="2" t="n">
        <v>2</v>
      </c>
      <c r="M129" s="2" t="n">
        <v>1096.5</v>
      </c>
    </row>
    <row r="130" customFormat="false" ht="15" hidden="false" customHeight="false" outlineLevel="0" collapsed="false">
      <c r="A130" s="2" t="s">
        <v>79</v>
      </c>
      <c r="B130" s="2" t="s">
        <v>187</v>
      </c>
      <c r="C130" s="2" t="n">
        <v>9</v>
      </c>
      <c r="D130" s="2" t="n">
        <v>14.81</v>
      </c>
      <c r="E130" s="2" t="n">
        <v>8.12</v>
      </c>
      <c r="F130" s="2" t="n">
        <v>25.9</v>
      </c>
      <c r="G130" s="2" t="n">
        <v>0.02</v>
      </c>
      <c r="H130" s="2" t="n">
        <v>0.01</v>
      </c>
      <c r="I130" s="2" t="n">
        <v>29.6</v>
      </c>
      <c r="J130" s="2" t="n">
        <v>83.33</v>
      </c>
      <c r="K130" s="2" t="n">
        <v>100</v>
      </c>
      <c r="L130" s="2" t="n">
        <v>3</v>
      </c>
      <c r="M130" s="2" t="n">
        <v>424</v>
      </c>
    </row>
    <row r="131" customFormat="false" ht="15" hidden="false" customHeight="false" outlineLevel="0" collapsed="false">
      <c r="A131" s="2" t="s">
        <v>79</v>
      </c>
      <c r="B131" s="2" t="s">
        <v>187</v>
      </c>
      <c r="C131" s="2" t="n">
        <v>10</v>
      </c>
      <c r="D131" s="2" t="n">
        <v>22.5</v>
      </c>
      <c r="E131" s="2" t="n">
        <v>7.38</v>
      </c>
      <c r="F131" s="2" t="n">
        <v>26.07</v>
      </c>
      <c r="G131" s="2" t="n">
        <v>0.09</v>
      </c>
      <c r="H131" s="2" t="n">
        <v>0.04</v>
      </c>
      <c r="I131" s="2" t="n">
        <v>29.6</v>
      </c>
      <c r="J131" s="2" t="n">
        <v>85.67</v>
      </c>
      <c r="K131" s="2" t="n">
        <v>100</v>
      </c>
      <c r="L131" s="2" t="n">
        <v>3</v>
      </c>
      <c r="M131" s="2" t="n">
        <v>592.5</v>
      </c>
    </row>
    <row r="132" customFormat="false" ht="15" hidden="false" customHeight="false" outlineLevel="0" collapsed="false">
      <c r="A132" s="2" t="s">
        <v>79</v>
      </c>
      <c r="B132" s="2" t="s">
        <v>187</v>
      </c>
      <c r="C132" s="2" t="n">
        <v>11</v>
      </c>
      <c r="D132" s="2" t="n">
        <v>33.97</v>
      </c>
      <c r="E132" s="2" t="n">
        <v>8.82</v>
      </c>
      <c r="F132" s="2" t="n">
        <v>25.23</v>
      </c>
      <c r="G132" s="2" t="n">
        <v>0.06</v>
      </c>
      <c r="H132" s="2" t="n">
        <v>0.03</v>
      </c>
      <c r="I132" s="2" t="n">
        <v>28.33</v>
      </c>
      <c r="J132" s="2" t="n">
        <v>85.33</v>
      </c>
      <c r="K132" s="2" t="n">
        <v>10</v>
      </c>
      <c r="L132" s="2" t="n">
        <v>1</v>
      </c>
      <c r="M132" s="2" t="n">
        <v>1968</v>
      </c>
    </row>
    <row r="133" customFormat="false" ht="15" hidden="false" customHeight="false" outlineLevel="0" collapsed="false">
      <c r="A133" s="2" t="s">
        <v>79</v>
      </c>
      <c r="B133" s="2" t="s">
        <v>187</v>
      </c>
      <c r="C133" s="2" t="n">
        <v>12</v>
      </c>
      <c r="D133" s="2" t="n">
        <v>28.33</v>
      </c>
      <c r="E133" s="2" t="n">
        <v>9.17</v>
      </c>
      <c r="F133" s="2" t="n">
        <v>25.1</v>
      </c>
      <c r="G133" s="2" t="n">
        <v>0</v>
      </c>
      <c r="H133" s="2" t="n">
        <v>0</v>
      </c>
      <c r="I133" s="2" t="n">
        <v>29.03</v>
      </c>
      <c r="J133" s="2" t="n">
        <v>86.33</v>
      </c>
      <c r="K133" s="2" t="n">
        <v>15</v>
      </c>
      <c r="L133" s="2" t="n">
        <v>1</v>
      </c>
      <c r="M133" s="2" t="n">
        <v>507.33</v>
      </c>
    </row>
    <row r="134" customFormat="false" ht="15" hidden="false" customHeight="false" outlineLevel="0" collapsed="false">
      <c r="A134" s="2" t="s">
        <v>79</v>
      </c>
      <c r="B134" s="2" t="s">
        <v>187</v>
      </c>
      <c r="C134" s="2" t="n">
        <v>13</v>
      </c>
      <c r="D134" s="2" t="n">
        <v>31.73</v>
      </c>
      <c r="E134" s="2" t="n">
        <v>9.06</v>
      </c>
      <c r="F134" s="2" t="n">
        <v>25.17</v>
      </c>
      <c r="G134" s="2" t="n">
        <v>0.01</v>
      </c>
      <c r="H134" s="2" t="n">
        <v>0</v>
      </c>
      <c r="I134" s="2" t="n">
        <v>29.43</v>
      </c>
      <c r="J134" s="2" t="n">
        <v>86.67</v>
      </c>
      <c r="K134" s="2" t="n">
        <v>20</v>
      </c>
      <c r="L134" s="2" t="n">
        <v>1</v>
      </c>
      <c r="M134" s="2" t="n">
        <v>986</v>
      </c>
    </row>
    <row r="135" customFormat="false" ht="15" hidden="false" customHeight="false" outlineLevel="0" collapsed="false">
      <c r="A135" s="2" t="s">
        <v>79</v>
      </c>
      <c r="B135" s="2" t="s">
        <v>187</v>
      </c>
      <c r="C135" s="2" t="n">
        <v>14</v>
      </c>
      <c r="D135" s="2" t="n">
        <v>26.64</v>
      </c>
      <c r="E135" s="2" t="n">
        <v>9.14</v>
      </c>
      <c r="F135" s="2" t="n">
        <v>25.33</v>
      </c>
      <c r="G135" s="2" t="n">
        <v>0</v>
      </c>
      <c r="H135" s="2" t="n">
        <v>0</v>
      </c>
      <c r="I135" s="2" t="n">
        <v>29.07</v>
      </c>
      <c r="J135" s="2" t="n">
        <v>86.33</v>
      </c>
      <c r="K135" s="2" t="n">
        <v>15</v>
      </c>
      <c r="L135" s="2" t="n">
        <v>1</v>
      </c>
      <c r="M135" s="2" t="n">
        <v>1830.33</v>
      </c>
    </row>
    <row r="136" customFormat="false" ht="15" hidden="false" customHeight="false" outlineLevel="0" collapsed="false">
      <c r="A136" s="2" t="s">
        <v>79</v>
      </c>
      <c r="B136" s="2" t="s">
        <v>187</v>
      </c>
      <c r="C136" s="2" t="n">
        <v>15</v>
      </c>
      <c r="D136" s="2" t="n">
        <v>22.5</v>
      </c>
      <c r="E136" s="2" t="n">
        <v>8.86</v>
      </c>
      <c r="F136" s="2" t="n">
        <v>25.17</v>
      </c>
      <c r="G136" s="2" t="n">
        <v>0</v>
      </c>
      <c r="H136" s="2" t="n">
        <v>0</v>
      </c>
      <c r="I136" s="2" t="n">
        <v>29.2</v>
      </c>
      <c r="J136" s="2" t="n">
        <v>87</v>
      </c>
      <c r="K136" s="2" t="n">
        <v>0</v>
      </c>
      <c r="L136" s="2" t="n">
        <v>0</v>
      </c>
      <c r="M136" s="2" t="n">
        <v>876.33</v>
      </c>
    </row>
    <row r="137" customFormat="false" ht="15" hidden="false" customHeight="false" outlineLevel="0" collapsed="false">
      <c r="A137" s="2" t="s">
        <v>79</v>
      </c>
      <c r="B137" s="2" t="s">
        <v>187</v>
      </c>
      <c r="C137" s="2" t="n">
        <v>16</v>
      </c>
      <c r="D137" s="2" t="n">
        <v>39.5</v>
      </c>
      <c r="E137" s="2" t="n">
        <v>9</v>
      </c>
      <c r="F137" s="2" t="n">
        <v>26.13</v>
      </c>
      <c r="G137" s="2" t="n">
        <v>0</v>
      </c>
      <c r="H137" s="2" t="n">
        <v>0</v>
      </c>
      <c r="I137" s="2" t="n">
        <v>29.5</v>
      </c>
      <c r="J137" s="2" t="n">
        <v>86.67</v>
      </c>
      <c r="K137" s="2" t="n">
        <v>0</v>
      </c>
      <c r="L137" s="2" t="n">
        <v>0</v>
      </c>
      <c r="M137" s="2" t="n">
        <v>5873.33</v>
      </c>
    </row>
    <row r="138" customFormat="false" ht="15" hidden="false" customHeight="false" outlineLevel="0" collapsed="false">
      <c r="A138" s="2" t="s">
        <v>79</v>
      </c>
      <c r="B138" s="2" t="s">
        <v>187</v>
      </c>
      <c r="C138" s="2" t="n">
        <v>17</v>
      </c>
      <c r="D138" s="2" t="n">
        <v>60.26</v>
      </c>
      <c r="E138" s="2" t="n">
        <v>8.69</v>
      </c>
      <c r="F138" s="2" t="n">
        <v>26.1</v>
      </c>
      <c r="G138" s="2" t="n">
        <v>0.03</v>
      </c>
      <c r="H138" s="2" t="n">
        <v>0.02</v>
      </c>
      <c r="I138" s="2" t="n">
        <v>29.9</v>
      </c>
      <c r="J138" s="2" t="n">
        <v>85</v>
      </c>
      <c r="K138" s="2" t="n">
        <v>0</v>
      </c>
      <c r="L138" s="2" t="n">
        <v>0</v>
      </c>
      <c r="M138" s="2" t="n">
        <v>5360</v>
      </c>
    </row>
    <row r="139" customFormat="false" ht="15" hidden="false" customHeight="false" outlineLevel="0" collapsed="false">
      <c r="A139" s="2" t="s">
        <v>79</v>
      </c>
      <c r="B139" s="2" t="s">
        <v>187</v>
      </c>
      <c r="C139" s="2" t="n">
        <v>18</v>
      </c>
      <c r="D139" s="2" t="n">
        <v>24.26</v>
      </c>
      <c r="E139" s="2" t="n">
        <v>8.72</v>
      </c>
      <c r="F139" s="2" t="n">
        <v>25.6</v>
      </c>
      <c r="G139" s="2" t="n">
        <v>0.05</v>
      </c>
      <c r="H139" s="2" t="n">
        <v>0.02</v>
      </c>
      <c r="I139" s="2" t="n">
        <v>29.8</v>
      </c>
      <c r="J139" s="2" t="n">
        <v>84</v>
      </c>
      <c r="K139" s="2" t="n">
        <v>0</v>
      </c>
      <c r="L139" s="2" t="n">
        <v>0</v>
      </c>
      <c r="M139" s="2" t="n">
        <v>4116.67</v>
      </c>
    </row>
    <row r="140" customFormat="false" ht="15" hidden="false" customHeight="false" outlineLevel="0" collapsed="false">
      <c r="A140" s="2" t="s">
        <v>79</v>
      </c>
      <c r="B140" s="2" t="s">
        <v>187</v>
      </c>
      <c r="C140" s="2" t="n">
        <v>19</v>
      </c>
      <c r="D140" s="2" t="n">
        <v>36.21</v>
      </c>
      <c r="E140" s="2" t="n">
        <v>8.78</v>
      </c>
      <c r="F140" s="2" t="n">
        <v>25.5</v>
      </c>
      <c r="G140" s="2" t="n">
        <v>0</v>
      </c>
      <c r="H140" s="2" t="n">
        <v>0</v>
      </c>
      <c r="I140" s="2" t="n">
        <v>29.7</v>
      </c>
      <c r="J140" s="2" t="n">
        <v>85.67</v>
      </c>
      <c r="K140" s="2" t="n">
        <v>75</v>
      </c>
      <c r="L140" s="2" t="n">
        <v>2</v>
      </c>
      <c r="M140" s="2" t="n">
        <v>618</v>
      </c>
    </row>
    <row r="141" customFormat="false" ht="15" hidden="false" customHeight="false" outlineLevel="0" collapsed="false">
      <c r="A141" s="2" t="s">
        <v>79</v>
      </c>
      <c r="B141" s="2" t="s">
        <v>187</v>
      </c>
      <c r="C141" s="2" t="n">
        <v>20</v>
      </c>
      <c r="D141" s="2" t="n">
        <v>34.09</v>
      </c>
      <c r="E141" s="2" t="n">
        <v>8.76</v>
      </c>
      <c r="F141" s="2" t="n">
        <v>25.33</v>
      </c>
      <c r="G141" s="2" t="n">
        <v>0.03</v>
      </c>
      <c r="H141" s="2" t="n">
        <v>0.02</v>
      </c>
      <c r="I141" s="2" t="n">
        <v>29.5</v>
      </c>
      <c r="J141" s="2" t="n">
        <v>85.33</v>
      </c>
      <c r="K141" s="2" t="n">
        <v>80</v>
      </c>
      <c r="L141" s="2" t="n">
        <v>2</v>
      </c>
      <c r="M141" s="2" t="n">
        <v>315.33</v>
      </c>
    </row>
    <row r="142" customFormat="false" ht="15" hidden="false" customHeight="false" outlineLevel="0" collapsed="false">
      <c r="A142" s="2" t="s">
        <v>79</v>
      </c>
      <c r="B142" s="2" t="s">
        <v>188</v>
      </c>
      <c r="C142" s="2" t="n">
        <v>1</v>
      </c>
      <c r="D142" s="2" t="n">
        <v>3.5</v>
      </c>
      <c r="E142" s="2" t="n">
        <v>7.04</v>
      </c>
      <c r="F142" s="2" t="n">
        <v>24.37</v>
      </c>
      <c r="G142" s="2" t="n">
        <v>0.05</v>
      </c>
      <c r="H142" s="2" t="n">
        <v>0.03</v>
      </c>
      <c r="I142" s="2" t="n">
        <v>27.47</v>
      </c>
      <c r="J142" s="2" t="n">
        <v>74.33</v>
      </c>
      <c r="K142" s="2" t="n">
        <v>90</v>
      </c>
      <c r="L142" s="2" t="n">
        <v>1</v>
      </c>
      <c r="M142" s="2" t="n">
        <v>970</v>
      </c>
    </row>
    <row r="143" customFormat="false" ht="15" hidden="false" customHeight="false" outlineLevel="0" collapsed="false">
      <c r="A143" s="2" t="s">
        <v>79</v>
      </c>
      <c r="B143" s="2" t="s">
        <v>188</v>
      </c>
      <c r="C143" s="2" t="n">
        <v>2</v>
      </c>
      <c r="D143" s="2" t="n">
        <v>4.36</v>
      </c>
      <c r="E143" s="2" t="n">
        <v>6.87</v>
      </c>
      <c r="F143" s="2" t="n">
        <v>24.57</v>
      </c>
      <c r="G143" s="2" t="n">
        <v>0.02</v>
      </c>
      <c r="H143" s="2" t="n">
        <v>0.01</v>
      </c>
      <c r="I143" s="2" t="n">
        <v>27.5</v>
      </c>
      <c r="J143" s="2" t="n">
        <v>73.33</v>
      </c>
      <c r="K143" s="2" t="n">
        <v>100</v>
      </c>
      <c r="L143" s="2" t="n">
        <v>2</v>
      </c>
      <c r="M143" s="2" t="n">
        <v>587</v>
      </c>
    </row>
    <row r="144" customFormat="false" ht="15" hidden="false" customHeight="false" outlineLevel="0" collapsed="false">
      <c r="A144" s="2" t="s">
        <v>79</v>
      </c>
      <c r="B144" s="2" t="s">
        <v>188</v>
      </c>
      <c r="C144" s="2" t="n">
        <v>3</v>
      </c>
      <c r="D144" s="2" t="n">
        <v>2.23</v>
      </c>
      <c r="E144" s="2" t="n">
        <v>6.97</v>
      </c>
      <c r="F144" s="2" t="n">
        <v>24.23</v>
      </c>
      <c r="G144" s="2" t="n">
        <v>0.01</v>
      </c>
      <c r="H144" s="2" t="n">
        <v>0</v>
      </c>
      <c r="I144" s="2" t="n">
        <v>27.8</v>
      </c>
      <c r="J144" s="2" t="n">
        <v>76</v>
      </c>
      <c r="K144" s="2" t="n">
        <v>85</v>
      </c>
      <c r="L144" s="2" t="n">
        <v>2</v>
      </c>
      <c r="M144" s="2" t="n">
        <v>677.67</v>
      </c>
    </row>
    <row r="145" customFormat="false" ht="15" hidden="false" customHeight="false" outlineLevel="0" collapsed="false">
      <c r="A145" s="2" t="s">
        <v>79</v>
      </c>
      <c r="B145" s="2" t="s">
        <v>188</v>
      </c>
      <c r="C145" s="2" t="n">
        <v>4</v>
      </c>
      <c r="D145" s="2" t="n">
        <v>13.92</v>
      </c>
      <c r="E145" s="2" t="n">
        <v>6.97</v>
      </c>
      <c r="F145" s="2" t="n">
        <v>23.97</v>
      </c>
      <c r="G145" s="2" t="n">
        <v>0.04</v>
      </c>
      <c r="H145" s="2" t="n">
        <v>0.01</v>
      </c>
      <c r="I145" s="2" t="n">
        <v>28.57</v>
      </c>
      <c r="J145" s="2" t="n">
        <v>76.33</v>
      </c>
      <c r="K145" s="2" t="n">
        <v>70</v>
      </c>
      <c r="L145" s="2" t="n">
        <v>2</v>
      </c>
      <c r="M145" s="2" t="n">
        <v>1068.33</v>
      </c>
    </row>
    <row r="146" customFormat="false" ht="15" hidden="false" customHeight="false" outlineLevel="0" collapsed="false">
      <c r="A146" s="2" t="s">
        <v>79</v>
      </c>
      <c r="B146" s="2" t="s">
        <v>188</v>
      </c>
      <c r="C146" s="2" t="n">
        <v>5</v>
      </c>
      <c r="D146" s="2" t="n">
        <v>21.67</v>
      </c>
      <c r="E146" s="2" t="n">
        <v>7.1</v>
      </c>
      <c r="F146" s="2" t="n">
        <v>24.03</v>
      </c>
      <c r="G146" s="2" t="n">
        <v>0</v>
      </c>
      <c r="H146" s="2" t="n">
        <v>0</v>
      </c>
      <c r="I146" s="2" t="n">
        <v>28.6</v>
      </c>
      <c r="J146" s="2" t="n">
        <v>75</v>
      </c>
      <c r="K146" s="2" t="n">
        <v>100</v>
      </c>
      <c r="L146" s="2" t="n">
        <v>3</v>
      </c>
      <c r="M146" s="2" t="n">
        <v>892.67</v>
      </c>
    </row>
    <row r="147" customFormat="false" ht="15" hidden="false" customHeight="false" outlineLevel="0" collapsed="false">
      <c r="A147" s="2" t="s">
        <v>79</v>
      </c>
      <c r="B147" s="2" t="s">
        <v>188</v>
      </c>
      <c r="C147" s="2" t="n">
        <v>6</v>
      </c>
      <c r="D147" s="2" t="n">
        <v>29.35</v>
      </c>
      <c r="E147" s="2" t="n">
        <v>7.14</v>
      </c>
      <c r="F147" s="2" t="n">
        <v>24.1</v>
      </c>
      <c r="G147" s="2" t="n">
        <v>0</v>
      </c>
      <c r="H147" s="2" t="n">
        <v>0</v>
      </c>
      <c r="I147" s="2" t="n">
        <v>29.13</v>
      </c>
      <c r="J147" s="2" t="n">
        <v>74.33</v>
      </c>
      <c r="K147" s="2" t="n">
        <v>70</v>
      </c>
      <c r="L147" s="2" t="n">
        <v>1</v>
      </c>
      <c r="M147" s="2" t="n">
        <v>1440.67</v>
      </c>
    </row>
    <row r="148" customFormat="false" ht="15" hidden="false" customHeight="false" outlineLevel="0" collapsed="false">
      <c r="A148" s="2" t="s">
        <v>79</v>
      </c>
      <c r="B148" s="2" t="s">
        <v>188</v>
      </c>
      <c r="C148" s="2" t="n">
        <v>7</v>
      </c>
      <c r="D148" s="2" t="n">
        <v>29.9</v>
      </c>
      <c r="E148" s="2" t="n">
        <v>6.76</v>
      </c>
      <c r="F148" s="2" t="n">
        <v>24.53</v>
      </c>
      <c r="G148" s="2" t="n">
        <v>0.01</v>
      </c>
      <c r="H148" s="2" t="n">
        <v>0</v>
      </c>
      <c r="I148" s="2" t="n">
        <v>29.17</v>
      </c>
      <c r="J148" s="2" t="n">
        <v>75.33</v>
      </c>
      <c r="K148" s="2" t="n">
        <v>50</v>
      </c>
      <c r="L148" s="2" t="n">
        <v>2</v>
      </c>
      <c r="M148" s="2" t="n">
        <v>7210</v>
      </c>
    </row>
    <row r="149" customFormat="false" ht="15" hidden="false" customHeight="false" outlineLevel="0" collapsed="false">
      <c r="A149" s="2" t="s">
        <v>79</v>
      </c>
      <c r="B149" s="2" t="s">
        <v>188</v>
      </c>
      <c r="C149" s="2" t="n">
        <v>8</v>
      </c>
      <c r="D149" s="2" t="n">
        <v>2.56</v>
      </c>
      <c r="E149" s="2" t="n">
        <v>6.93</v>
      </c>
      <c r="F149" s="2" t="n">
        <v>25.07</v>
      </c>
      <c r="G149" s="2" t="n">
        <v>0.02</v>
      </c>
      <c r="H149" s="2" t="n">
        <v>0.01</v>
      </c>
      <c r="I149" s="2" t="n">
        <v>29</v>
      </c>
      <c r="J149" s="2" t="n">
        <v>72.33</v>
      </c>
      <c r="K149" s="2" t="n">
        <v>90</v>
      </c>
      <c r="L149" s="2" t="n">
        <v>3</v>
      </c>
      <c r="M149" s="2" t="n">
        <v>1493.67</v>
      </c>
    </row>
    <row r="150" customFormat="false" ht="15" hidden="false" customHeight="false" outlineLevel="0" collapsed="false">
      <c r="A150" s="2" t="s">
        <v>79</v>
      </c>
      <c r="B150" s="2" t="s">
        <v>188</v>
      </c>
      <c r="C150" s="2" t="n">
        <v>9</v>
      </c>
      <c r="D150" s="2" t="n">
        <v>1.55</v>
      </c>
      <c r="E150" s="2" t="n">
        <v>7.07</v>
      </c>
      <c r="F150" s="2" t="n">
        <v>25.43</v>
      </c>
      <c r="G150" s="2" t="n">
        <v>0</v>
      </c>
      <c r="H150" s="2" t="n">
        <v>0</v>
      </c>
      <c r="I150" s="2" t="n">
        <v>28.83</v>
      </c>
      <c r="J150" s="2" t="n">
        <v>73</v>
      </c>
      <c r="K150" s="2" t="n">
        <v>30</v>
      </c>
      <c r="L150" s="2" t="n">
        <v>1</v>
      </c>
      <c r="M150" s="2" t="n">
        <v>1813</v>
      </c>
    </row>
    <row r="151" customFormat="false" ht="15" hidden="false" customHeight="false" outlineLevel="0" collapsed="false">
      <c r="A151" s="2" t="s">
        <v>79</v>
      </c>
      <c r="B151" s="2" t="s">
        <v>188</v>
      </c>
      <c r="C151" s="2" t="n">
        <v>10</v>
      </c>
      <c r="D151" s="2" t="n">
        <v>2.38</v>
      </c>
      <c r="E151" s="2" t="n">
        <v>7.05</v>
      </c>
      <c r="F151" s="2" t="n">
        <v>25.4</v>
      </c>
      <c r="G151" s="2" t="n">
        <v>0.01</v>
      </c>
      <c r="H151" s="2" t="n">
        <v>0.01</v>
      </c>
      <c r="I151" s="2" t="n">
        <v>28.8</v>
      </c>
      <c r="J151" s="2" t="n">
        <v>71.67</v>
      </c>
      <c r="K151" s="2" t="n">
        <v>70</v>
      </c>
      <c r="L151" s="2" t="n">
        <v>3</v>
      </c>
      <c r="M151" s="2" t="n">
        <v>1005.67</v>
      </c>
    </row>
    <row r="152" customFormat="false" ht="15" hidden="false" customHeight="false" outlineLevel="0" collapsed="false">
      <c r="A152" s="2" t="s">
        <v>79</v>
      </c>
      <c r="B152" s="2" t="s">
        <v>188</v>
      </c>
      <c r="C152" s="2" t="n">
        <v>11</v>
      </c>
      <c r="D152" s="2" t="n">
        <v>6.8</v>
      </c>
      <c r="E152" s="2" t="n">
        <v>6.37</v>
      </c>
      <c r="F152" s="2" t="n">
        <v>25.43</v>
      </c>
      <c r="G152" s="2" t="n">
        <v>0.32</v>
      </c>
      <c r="H152" s="2" t="n">
        <v>0.15</v>
      </c>
      <c r="I152" s="2" t="n">
        <v>29.77</v>
      </c>
      <c r="J152" s="2" t="n">
        <v>62</v>
      </c>
      <c r="K152" s="2" t="n">
        <v>100</v>
      </c>
      <c r="L152" s="2" t="n">
        <v>3</v>
      </c>
      <c r="M152" s="2" t="n">
        <v>2702.33</v>
      </c>
    </row>
    <row r="153" customFormat="false" ht="15" hidden="false" customHeight="false" outlineLevel="0" collapsed="false">
      <c r="A153" s="2" t="s">
        <v>79</v>
      </c>
      <c r="B153" s="2" t="s">
        <v>188</v>
      </c>
      <c r="C153" s="2" t="n">
        <v>12</v>
      </c>
      <c r="D153" s="2" t="n">
        <v>3.72</v>
      </c>
      <c r="E153" s="2" t="n">
        <v>6.78</v>
      </c>
      <c r="F153" s="2" t="n">
        <v>25.1</v>
      </c>
      <c r="G153" s="2" t="n">
        <v>0.04</v>
      </c>
      <c r="H153" s="2" t="n">
        <v>0.02</v>
      </c>
      <c r="I153" s="2" t="n">
        <v>29.6</v>
      </c>
      <c r="J153" s="2" t="n">
        <v>67</v>
      </c>
      <c r="K153" s="2" t="n">
        <v>100</v>
      </c>
      <c r="L153" s="2" t="n">
        <v>4</v>
      </c>
      <c r="M153" s="2" t="n">
        <v>1178.33</v>
      </c>
    </row>
    <row r="154" customFormat="false" ht="15" hidden="false" customHeight="false" outlineLevel="0" collapsed="false">
      <c r="A154" s="2" t="s">
        <v>79</v>
      </c>
      <c r="B154" s="2" t="s">
        <v>188</v>
      </c>
      <c r="C154" s="2" t="n">
        <v>13</v>
      </c>
      <c r="D154" s="2" t="n">
        <v>2.58</v>
      </c>
      <c r="E154" s="2" t="n">
        <v>6.62</v>
      </c>
      <c r="F154" s="2" t="n">
        <v>25</v>
      </c>
      <c r="G154" s="2" t="n">
        <v>0.09</v>
      </c>
      <c r="H154" s="2" t="n">
        <v>0.04</v>
      </c>
      <c r="I154" s="2" t="n">
        <v>29.27</v>
      </c>
      <c r="J154" s="2" t="n">
        <v>68.33</v>
      </c>
      <c r="K154" s="2" t="n">
        <v>80</v>
      </c>
      <c r="L154" s="2" t="n">
        <v>2</v>
      </c>
      <c r="M154" s="2" t="n">
        <v>1795.67</v>
      </c>
    </row>
    <row r="155" customFormat="false" ht="15" hidden="false" customHeight="false" outlineLevel="0" collapsed="false">
      <c r="A155" s="2" t="s">
        <v>79</v>
      </c>
      <c r="B155" s="2" t="s">
        <v>188</v>
      </c>
      <c r="C155" s="2" t="n">
        <v>14</v>
      </c>
      <c r="D155" s="2" t="n">
        <v>9.86</v>
      </c>
      <c r="E155" s="2" t="n">
        <v>6.66</v>
      </c>
      <c r="F155" s="2" t="n">
        <v>24.67</v>
      </c>
      <c r="G155" s="2" t="n">
        <v>0.03</v>
      </c>
      <c r="H155" s="2" t="n">
        <v>0.01</v>
      </c>
      <c r="I155" s="2" t="n">
        <v>29.3</v>
      </c>
      <c r="J155" s="2" t="n">
        <v>69.33</v>
      </c>
      <c r="K155" s="2" t="n">
        <v>60</v>
      </c>
      <c r="L155" s="2" t="n">
        <v>2</v>
      </c>
      <c r="M155" s="2" t="n">
        <v>2003.33</v>
      </c>
    </row>
    <row r="156" customFormat="false" ht="15" hidden="false" customHeight="false" outlineLevel="0" collapsed="false">
      <c r="A156" s="2" t="s">
        <v>79</v>
      </c>
      <c r="B156" s="2" t="s">
        <v>188</v>
      </c>
      <c r="C156" s="2" t="n">
        <v>15</v>
      </c>
      <c r="D156" s="2" t="n">
        <v>21.5</v>
      </c>
      <c r="E156" s="2" t="n">
        <v>6.67</v>
      </c>
      <c r="F156" s="2" t="n">
        <v>24.9</v>
      </c>
      <c r="G156" s="2" t="n">
        <v>0.04</v>
      </c>
      <c r="H156" s="2" t="n">
        <v>0.02</v>
      </c>
      <c r="I156" s="2" t="n">
        <v>30.2</v>
      </c>
      <c r="J156" s="2" t="n">
        <v>68.67</v>
      </c>
      <c r="K156" s="2" t="n">
        <v>100</v>
      </c>
      <c r="L156" s="2" t="n">
        <v>6</v>
      </c>
      <c r="M156" s="2" t="n">
        <v>1909</v>
      </c>
    </row>
    <row r="157" customFormat="false" ht="15" hidden="false" customHeight="false" outlineLevel="0" collapsed="false">
      <c r="A157" s="2" t="s">
        <v>79</v>
      </c>
      <c r="B157" s="2" t="s">
        <v>188</v>
      </c>
      <c r="C157" s="2" t="n">
        <v>16</v>
      </c>
      <c r="D157" s="2" t="n">
        <v>26.38</v>
      </c>
      <c r="E157" s="2" t="n">
        <v>6.54</v>
      </c>
      <c r="F157" s="2" t="n">
        <v>25.37</v>
      </c>
      <c r="G157" s="2" t="n">
        <v>0.02</v>
      </c>
      <c r="H157" s="2" t="n">
        <v>0.01</v>
      </c>
      <c r="I157" s="2" t="n">
        <v>29.83</v>
      </c>
      <c r="J157" s="2" t="n">
        <v>69.67</v>
      </c>
      <c r="K157" s="2" t="n">
        <v>10</v>
      </c>
      <c r="L157" s="2" t="n">
        <v>3</v>
      </c>
      <c r="M157" s="2" t="n">
        <v>5874.33</v>
      </c>
    </row>
    <row r="158" customFormat="false" ht="15" hidden="false" customHeight="false" outlineLevel="0" collapsed="false">
      <c r="A158" s="2" t="s">
        <v>79</v>
      </c>
      <c r="B158" s="2" t="s">
        <v>188</v>
      </c>
      <c r="C158" s="2" t="n">
        <v>17</v>
      </c>
      <c r="D158" s="2" t="n">
        <v>24.8</v>
      </c>
      <c r="E158" s="2" t="n">
        <v>6.47</v>
      </c>
      <c r="F158" s="2" t="n">
        <v>25.9</v>
      </c>
      <c r="G158" s="2" t="n">
        <v>0</v>
      </c>
      <c r="H158" s="2" t="n">
        <v>0</v>
      </c>
      <c r="I158" s="2" t="n">
        <v>30.6</v>
      </c>
      <c r="J158" s="2" t="n">
        <v>69.33</v>
      </c>
      <c r="K158" s="2" t="n">
        <v>100</v>
      </c>
      <c r="L158" s="2" t="n">
        <v>4</v>
      </c>
      <c r="M158" s="2" t="n">
        <v>12573.33</v>
      </c>
    </row>
    <row r="159" customFormat="false" ht="15" hidden="false" customHeight="false" outlineLevel="0" collapsed="false">
      <c r="A159" s="2" t="s">
        <v>79</v>
      </c>
      <c r="B159" s="2" t="s">
        <v>188</v>
      </c>
      <c r="C159" s="2" t="n">
        <v>18</v>
      </c>
      <c r="D159" s="2" t="n">
        <v>2.38</v>
      </c>
      <c r="E159" s="2" t="n">
        <v>6.55</v>
      </c>
      <c r="F159" s="2" t="n">
        <v>25.63</v>
      </c>
      <c r="G159" s="2" t="n">
        <v>0.04</v>
      </c>
      <c r="H159" s="2" t="n">
        <v>0.02</v>
      </c>
      <c r="I159" s="2" t="n">
        <v>30.37</v>
      </c>
      <c r="J159" s="2" t="n">
        <v>67</v>
      </c>
      <c r="K159" s="2" t="n">
        <v>30</v>
      </c>
      <c r="L159" s="2" t="n">
        <v>3</v>
      </c>
      <c r="M159" s="2" t="n">
        <v>2441</v>
      </c>
    </row>
    <row r="160" customFormat="false" ht="15" hidden="false" customHeight="false" outlineLevel="0" collapsed="false">
      <c r="A160" s="2" t="s">
        <v>79</v>
      </c>
      <c r="B160" s="2" t="s">
        <v>188</v>
      </c>
      <c r="C160" s="2" t="n">
        <v>19</v>
      </c>
      <c r="D160" s="2" t="n">
        <v>2.2</v>
      </c>
      <c r="E160" s="2" t="n">
        <v>6.44</v>
      </c>
      <c r="F160" s="2" t="n">
        <v>26.53</v>
      </c>
      <c r="G160" s="2" t="n">
        <v>0.03</v>
      </c>
      <c r="H160" s="2" t="n">
        <v>0.01</v>
      </c>
      <c r="I160" s="2" t="n">
        <v>30.43</v>
      </c>
      <c r="J160" s="2" t="n">
        <v>68</v>
      </c>
      <c r="K160" s="2" t="n">
        <v>80</v>
      </c>
      <c r="L160" s="2" t="n">
        <v>4</v>
      </c>
      <c r="M160" s="2" t="n">
        <v>3920</v>
      </c>
    </row>
    <row r="161" customFormat="false" ht="15" hidden="false" customHeight="false" outlineLevel="0" collapsed="false">
      <c r="A161" s="2" t="s">
        <v>79</v>
      </c>
      <c r="B161" s="2" t="s">
        <v>188</v>
      </c>
      <c r="C161" s="2" t="n">
        <v>20</v>
      </c>
      <c r="D161" s="2" t="n">
        <v>4.41</v>
      </c>
      <c r="E161" s="2" t="n">
        <v>6.35</v>
      </c>
      <c r="F161" s="2" t="n">
        <v>26.07</v>
      </c>
      <c r="G161" s="2" t="n">
        <v>0.04</v>
      </c>
      <c r="H161" s="2" t="n">
        <v>0.02</v>
      </c>
      <c r="I161" s="2" t="n">
        <v>30.27</v>
      </c>
      <c r="J161" s="2" t="n">
        <v>66</v>
      </c>
      <c r="K161" s="2" t="n">
        <v>100</v>
      </c>
      <c r="L161" s="2" t="n">
        <v>4</v>
      </c>
      <c r="M161" s="2" t="n">
        <v>1227.67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7" t="s">
        <v>223</v>
      </c>
    </row>
    <row r="3" customFormat="false" ht="15" hidden="false" customHeight="false" outlineLevel="0" collapsed="false">
      <c r="A3" s="8" t="s">
        <v>224</v>
      </c>
    </row>
    <row r="4" customFormat="false" ht="75" hidden="false" customHeight="true" outlineLevel="0" collapsed="false">
      <c r="A4" s="9" t="s">
        <v>225</v>
      </c>
      <c r="B4" s="9"/>
      <c r="C4" s="9"/>
    </row>
    <row r="6" customFormat="false" ht="15" hidden="false" customHeight="false" outlineLevel="0" collapsed="false">
      <c r="A6" s="8" t="s">
        <v>226</v>
      </c>
    </row>
    <row r="7" customFormat="false" ht="15" hidden="false" customHeight="false" outlineLevel="0" collapsed="false">
      <c r="A7" s="10" t="s">
        <v>227</v>
      </c>
      <c r="B7" s="10" t="s">
        <v>228</v>
      </c>
      <c r="C7" s="10"/>
    </row>
    <row r="8" customFormat="false" ht="30" hidden="false" customHeight="true" outlineLevel="0" collapsed="false">
      <c r="A8" s="11" t="s">
        <v>229</v>
      </c>
      <c r="B8" s="12" t="s">
        <v>230</v>
      </c>
      <c r="C8" s="12"/>
    </row>
    <row r="9" customFormat="false" ht="45" hidden="false" customHeight="true" outlineLevel="0" collapsed="false">
      <c r="A9" s="11" t="s">
        <v>231</v>
      </c>
      <c r="B9" s="12" t="s">
        <v>232</v>
      </c>
      <c r="C9" s="12"/>
    </row>
    <row r="10" customFormat="false" ht="15" hidden="false" customHeight="true" outlineLevel="0" collapsed="false">
      <c r="A10" s="11" t="s">
        <v>233</v>
      </c>
      <c r="B10" s="12" t="s">
        <v>234</v>
      </c>
      <c r="C10" s="12"/>
    </row>
    <row r="11" customFormat="false" ht="45" hidden="false" customHeight="true" outlineLevel="0" collapsed="false">
      <c r="A11" s="11" t="s">
        <v>235</v>
      </c>
      <c r="B11" s="12" t="s">
        <v>236</v>
      </c>
      <c r="C11" s="12"/>
    </row>
    <row r="12" customFormat="false" ht="30" hidden="false" customHeight="true" outlineLevel="0" collapsed="false">
      <c r="A12" s="11" t="s">
        <v>237</v>
      </c>
      <c r="B12" s="12" t="s">
        <v>238</v>
      </c>
      <c r="C12" s="12"/>
    </row>
    <row r="13" customFormat="false" ht="15" hidden="false" customHeight="true" outlineLevel="0" collapsed="false">
      <c r="A13" s="11" t="s">
        <v>239</v>
      </c>
      <c r="B13" s="12" t="s">
        <v>240</v>
      </c>
      <c r="C13" s="12"/>
    </row>
    <row r="14" customFormat="false" ht="30" hidden="false" customHeight="true" outlineLevel="0" collapsed="false">
      <c r="A14" s="11" t="s">
        <v>241</v>
      </c>
      <c r="B14" s="12" t="s">
        <v>242</v>
      </c>
      <c r="C14" s="12"/>
    </row>
    <row r="16" customFormat="false" ht="15" hidden="false" customHeight="false" outlineLevel="0" collapsed="false">
      <c r="A16" s="8" t="s">
        <v>243</v>
      </c>
    </row>
    <row r="17" customFormat="false" ht="60" hidden="false" customHeight="true" outlineLevel="0" collapsed="false">
      <c r="A17" s="9" t="s">
        <v>244</v>
      </c>
      <c r="B17" s="9"/>
      <c r="C17" s="9"/>
    </row>
    <row r="18" customFormat="false" ht="30" hidden="false" customHeight="true" outlineLevel="0" collapsed="false">
      <c r="A18" s="9" t="s">
        <v>245</v>
      </c>
      <c r="B18" s="9"/>
      <c r="C18" s="9"/>
    </row>
    <row r="19" customFormat="false" ht="30" hidden="false" customHeight="true" outlineLevel="0" collapsed="false">
      <c r="A19" s="9" t="s">
        <v>246</v>
      </c>
      <c r="B19" s="9"/>
      <c r="C19" s="9"/>
    </row>
    <row r="20" customFormat="false" ht="75" hidden="false" customHeight="true" outlineLevel="0" collapsed="false">
      <c r="A20" s="9" t="s">
        <v>247</v>
      </c>
      <c r="B20" s="9"/>
      <c r="C20" s="9"/>
    </row>
    <row r="21" customFormat="false" ht="30" hidden="false" customHeight="true" outlineLevel="0" collapsed="false">
      <c r="A21" s="9" t="s">
        <v>248</v>
      </c>
      <c r="B21" s="9"/>
      <c r="C21" s="9"/>
    </row>
    <row r="22" customFormat="false" ht="45" hidden="false" customHeight="true" outlineLevel="0" collapsed="false">
      <c r="A22" s="9" t="s">
        <v>249</v>
      </c>
      <c r="B22" s="9"/>
      <c r="C22" s="9"/>
    </row>
    <row r="23" customFormat="false" ht="60" hidden="false" customHeight="true" outlineLevel="0" collapsed="false">
      <c r="A23" s="9" t="s">
        <v>250</v>
      </c>
      <c r="B23" s="9"/>
      <c r="C23" s="9"/>
    </row>
    <row r="24" customFormat="false" ht="45" hidden="false" customHeight="true" outlineLevel="0" collapsed="false">
      <c r="A24" s="9" t="s">
        <v>251</v>
      </c>
      <c r="B24" s="9"/>
      <c r="C24" s="9"/>
    </row>
    <row r="26" customFormat="false" ht="15" hidden="false" customHeight="false" outlineLevel="0" collapsed="false">
      <c r="A26" s="8" t="s">
        <v>252</v>
      </c>
    </row>
    <row r="27" customFormat="false" ht="45" hidden="false" customHeight="true" outlineLevel="0" collapsed="false">
      <c r="A27" s="9" t="s">
        <v>253</v>
      </c>
      <c r="B27" s="9"/>
      <c r="C27" s="9"/>
    </row>
    <row r="28" customFormat="false" ht="30" hidden="false" customHeight="true" outlineLevel="0" collapsed="false">
      <c r="A28" s="9" t="s">
        <v>254</v>
      </c>
      <c r="B28" s="9"/>
      <c r="C28" s="9"/>
    </row>
    <row r="29" customFormat="false" ht="30" hidden="false" customHeight="true" outlineLevel="0" collapsed="false">
      <c r="A29" s="9" t="s">
        <v>255</v>
      </c>
      <c r="B29" s="9"/>
      <c r="C29" s="9"/>
    </row>
    <row r="30" customFormat="false" ht="45" hidden="false" customHeight="true" outlineLevel="0" collapsed="false">
      <c r="A30" s="9" t="s">
        <v>256</v>
      </c>
      <c r="B30" s="9"/>
      <c r="C30" s="9"/>
    </row>
    <row r="31" customFormat="false" ht="30" hidden="false" customHeight="true" outlineLevel="0" collapsed="false">
      <c r="A31" s="9" t="s">
        <v>257</v>
      </c>
      <c r="B31" s="9"/>
      <c r="C31" s="9"/>
    </row>
    <row r="32" customFormat="false" ht="30" hidden="false" customHeight="true" outlineLevel="0" collapsed="false">
      <c r="A32" s="9" t="s">
        <v>258</v>
      </c>
      <c r="B32" s="9"/>
      <c r="C32" s="9"/>
    </row>
    <row r="34" customFormat="false" ht="15" hidden="false" customHeight="false" outlineLevel="0" collapsed="false">
      <c r="A34" s="8" t="s">
        <v>259</v>
      </c>
    </row>
    <row r="35" customFormat="false" ht="15" hidden="false" customHeight="false" outlineLevel="0" collapsed="false">
      <c r="A35" s="10" t="s">
        <v>260</v>
      </c>
      <c r="B35" s="10" t="s">
        <v>261</v>
      </c>
      <c r="C35" s="10" t="s">
        <v>262</v>
      </c>
    </row>
    <row r="36" customFormat="false" ht="15" hidden="false" customHeight="false" outlineLevel="0" collapsed="false">
      <c r="A36" s="11" t="s">
        <v>263</v>
      </c>
      <c r="B36" s="13" t="n">
        <f aca="false">COUNTA(tax!A2:A73)</f>
        <v>72</v>
      </c>
      <c r="C36" s="11" t="s">
        <v>264</v>
      </c>
    </row>
    <row r="37" customFormat="false" ht="15" hidden="false" customHeight="false" outlineLevel="0" collapsed="false">
      <c r="A37" s="11" t="s">
        <v>265</v>
      </c>
      <c r="B37" s="13" t="n">
        <f aca="false">COUNTA(tax!C1:W1)</f>
        <v>21</v>
      </c>
      <c r="C37" s="11"/>
    </row>
    <row r="38" customFormat="false" ht="15" hidden="false" customHeight="false" outlineLevel="0" collapsed="false">
      <c r="A38" s="11" t="s">
        <v>266</v>
      </c>
      <c r="B38" s="13" t="n">
        <f aca="false">COUNTA(rasgos!B2:B22)</f>
        <v>21</v>
      </c>
      <c r="C38" s="11"/>
    </row>
    <row r="39" customFormat="false" ht="15" hidden="false" customHeight="false" outlineLevel="0" collapsed="false">
      <c r="A39" s="11" t="s">
        <v>267</v>
      </c>
      <c r="B39" s="13" t="n">
        <f aca="false">SUM(tax!C2:W73)</f>
        <v>7939</v>
      </c>
      <c r="C39" s="11" t="s">
        <v>268</v>
      </c>
    </row>
    <row r="40" customFormat="false" ht="15" hidden="false" customHeight="false" outlineLevel="0" collapsed="false">
      <c r="A40" s="11" t="s">
        <v>269</v>
      </c>
      <c r="B40" s="13" t="n">
        <f aca="false">SUM(tax_agregada!C2:W9)</f>
        <v>7939</v>
      </c>
      <c r="C40" s="11"/>
    </row>
    <row r="41" customFormat="false" ht="15" hidden="false" customHeight="false" outlineLevel="0" collapsed="false">
      <c r="A41" s="11" t="s">
        <v>270</v>
      </c>
      <c r="B41" s="13" t="str">
        <f aca="false">IF(B39=B40,"sí","no")</f>
        <v>sí</v>
      </c>
      <c r="C41" s="11"/>
    </row>
    <row r="42" customFormat="false" ht="15" hidden="false" customHeight="false" outlineLevel="0" collapsed="false">
      <c r="A42" s="11" t="s">
        <v>271</v>
      </c>
      <c r="B42" s="13" t="n">
        <f aca="false">COUNTIF(tax!A2:A73,"BSpe1_LL_*")</f>
        <v>10</v>
      </c>
      <c r="C42" s="11"/>
    </row>
    <row r="43" customFormat="false" ht="15" hidden="false" customHeight="false" outlineLevel="0" collapsed="false">
      <c r="A43" s="11" t="s">
        <v>272</v>
      </c>
      <c r="B43" s="13" t="n">
        <f aca="false">COUNTIF(tax!A2:A73,"BSpe1_SE_*")</f>
        <v>10</v>
      </c>
      <c r="C43" s="11"/>
    </row>
    <row r="44" customFormat="false" ht="15" hidden="false" customHeight="false" outlineLevel="0" collapsed="false">
      <c r="A44" s="11" t="s">
        <v>273</v>
      </c>
      <c r="B44" s="13" t="n">
        <f aca="false">COUNTIF(tax!A2:A73,"BSpe2_LL_*")</f>
        <v>10</v>
      </c>
      <c r="C44" s="11"/>
    </row>
    <row r="45" customFormat="false" ht="15" hidden="false" customHeight="false" outlineLevel="0" collapsed="false">
      <c r="A45" s="11" t="s">
        <v>274</v>
      </c>
      <c r="B45" s="13" t="n">
        <f aca="false">COUNTIF(tax!A2:A73,"BSpe2_SE_*")</f>
        <v>8</v>
      </c>
      <c r="C45" s="11"/>
    </row>
    <row r="46" customFormat="false" ht="15" hidden="false" customHeight="false" outlineLevel="0" collapsed="false">
      <c r="A46" s="11" t="s">
        <v>275</v>
      </c>
      <c r="B46" s="13" t="n">
        <f aca="false">COUNTIF(tax!A2:A73,"PL_LL_*")</f>
        <v>6</v>
      </c>
      <c r="C46" s="11"/>
    </row>
    <row r="47" customFormat="false" ht="15" hidden="false" customHeight="false" outlineLevel="0" collapsed="false">
      <c r="A47" s="11" t="s">
        <v>276</v>
      </c>
      <c r="B47" s="13" t="n">
        <f aca="false">COUNTIF(tax!A2:A73,"PL_SE_*")</f>
        <v>8</v>
      </c>
      <c r="C47" s="11"/>
    </row>
    <row r="48" customFormat="false" ht="15" hidden="false" customHeight="false" outlineLevel="0" collapsed="false">
      <c r="A48" s="11" t="s">
        <v>277</v>
      </c>
      <c r="B48" s="13" t="n">
        <f aca="false">COUNTIF(tax!A2:A73,"BSpl_LL_*")</f>
        <v>10</v>
      </c>
      <c r="C48" s="11"/>
    </row>
    <row r="49" customFormat="false" ht="15" hidden="false" customHeight="false" outlineLevel="0" collapsed="false">
      <c r="A49" s="11" t="s">
        <v>278</v>
      </c>
      <c r="B49" s="13" t="n">
        <f aca="false">COUNTIF(tax!A2:A73,"BSpl_SE_*")</f>
        <v>10</v>
      </c>
      <c r="C49" s="11"/>
    </row>
    <row r="50" customFormat="false" ht="15" hidden="false" customHeight="false" outlineLevel="0" collapsed="false">
      <c r="A50" s="11" t="s">
        <v>279</v>
      </c>
      <c r="B50" s="13" t="n">
        <f aca="false">SUM(rasgos!H2:H22)</f>
        <v>10</v>
      </c>
      <c r="C50" s="11" t="s">
        <v>280</v>
      </c>
    </row>
    <row r="51" customFormat="false" ht="15" hidden="false" customHeight="false" outlineLevel="0" collapsed="false">
      <c r="A51" s="11" t="s">
        <v>281</v>
      </c>
      <c r="B51" s="13" t="n">
        <f aca="false">SUM(rasgos!I2:I22)</f>
        <v>9</v>
      </c>
      <c r="C51" s="11" t="s">
        <v>282</v>
      </c>
    </row>
    <row r="52" customFormat="false" ht="15" hidden="false" customHeight="false" outlineLevel="0" collapsed="false">
      <c r="A52" s="11" t="s">
        <v>283</v>
      </c>
      <c r="B52" s="13" t="n">
        <f aca="false">SUM(rasgos!J2:J22)</f>
        <v>2</v>
      </c>
      <c r="C52" s="11" t="s">
        <v>284</v>
      </c>
    </row>
    <row r="53" customFormat="false" ht="15" hidden="false" customHeight="false" outlineLevel="0" collapsed="false">
      <c r="A53" s="11" t="s">
        <v>285</v>
      </c>
      <c r="B53" s="13" t="n">
        <f aca="false">SUM(rasgos!K2:K22)</f>
        <v>7</v>
      </c>
      <c r="C53" s="11" t="s">
        <v>286</v>
      </c>
    </row>
    <row r="54" customFormat="false" ht="15" hidden="false" customHeight="false" outlineLevel="0" collapsed="false">
      <c r="A54" s="11" t="s">
        <v>287</v>
      </c>
      <c r="B54" s="13" t="n">
        <f aca="false">SUM(rasgos!L2:L22)</f>
        <v>14</v>
      </c>
      <c r="C54" s="11" t="s">
        <v>288</v>
      </c>
    </row>
  </sheetData>
  <mergeCells count="22">
    <mergeCell ref="A4:C4"/>
    <mergeCell ref="B8:C8"/>
    <mergeCell ref="B9:C9"/>
    <mergeCell ref="B10:C10"/>
    <mergeCell ref="B11:C11"/>
    <mergeCell ref="B12:C12"/>
    <mergeCell ref="B13:C13"/>
    <mergeCell ref="B14:C14"/>
    <mergeCell ref="A17:C17"/>
    <mergeCell ref="A18:C18"/>
    <mergeCell ref="A19:C19"/>
    <mergeCell ref="A20:C20"/>
    <mergeCell ref="A21:C21"/>
    <mergeCell ref="A22:C22"/>
    <mergeCell ref="A23:C23"/>
    <mergeCell ref="A24:C24"/>
    <mergeCell ref="A27:C27"/>
    <mergeCell ref="A28:C28"/>
    <mergeCell ref="A29:C29"/>
    <mergeCell ref="A30:C30"/>
    <mergeCell ref="A31:C3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2026-09-21T01:12:02Z</dcterms:created>
  <dc:creator>openpyxl</dc:creator>
  <dc:description/>
  <dc:language>en-US</dc:language>
  <cp:lastModifiedBy/>
  <dcterms:modified xsi:type="dcterms:W3CDTF">2026-09-21T01:12:02Z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
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x" sheetId="1" state="visible" r:id="rId3"/>
    <sheet name="rasgos" sheetId="2" state="visible" r:id="rId4"/>
    <sheet name="coord" sheetId="3" state="visible" r:id="rId5"/>
    <sheet name="amb" sheetId="4" state="visible" r:id="rId6"/>
    <sheet name="rasgos_extra" sheetId="5" state="visible" r:id="rId7"/>
    <sheet name="tax_completa" sheetId="6" state="visible" r:id="rId8"/>
    <sheet name="nombres" sheetId="7" state="visible" r:id="rId9"/>
    <sheet name="nota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<sst xmlns="http://schemas.openxmlformats.org/spreadsheetml/2006/main" count="2202" uniqueCount="491">
  <si>
    <t xml:space="preserve">Sites</t>
  </si>
  <si>
    <t xml:space="preserve">Sites1</t>
  </si>
  <si>
    <t xml:space="preserve">Acanthostracion polygonius</t>
  </si>
  <si>
    <t xml:space="preserve">Acanthurus bahianus</t>
  </si>
  <si>
    <t xml:space="preserve">Achirus lineatus</t>
  </si>
  <si>
    <t xml:space="preserve">Antennarius pauciradiatus</t>
  </si>
  <si>
    <t xml:space="preserve">Antennarius striatus</t>
  </si>
  <si>
    <t xml:space="preserve">Apogon aurolineatus</t>
  </si>
  <si>
    <t xml:space="preserve">Apogon pillionatus</t>
  </si>
  <si>
    <t xml:space="preserve">Apogon pseudomaculatus</t>
  </si>
  <si>
    <t xml:space="preserve">Apogon quadrisquamatus</t>
  </si>
  <si>
    <t xml:space="preserve">Astrapogon alutus</t>
  </si>
  <si>
    <t xml:space="preserve">Aulostomus maculatus</t>
  </si>
  <si>
    <t xml:space="preserve">Bollmannia boqueronensis</t>
  </si>
  <si>
    <t xml:space="preserve">Bothus lunatus</t>
  </si>
  <si>
    <t xml:space="preserve">Bothus ocellatus</t>
  </si>
  <si>
    <t xml:space="preserve">Calamus pennatula</t>
  </si>
  <si>
    <t xml:space="preserve">Callionymus bairdi</t>
  </si>
  <si>
    <t xml:space="preserve">Chaetodon sedentarius</t>
  </si>
  <si>
    <t xml:space="preserve">Chilomycterus antillarum</t>
  </si>
  <si>
    <t xml:space="preserve">Chloroscombrus chrysurus</t>
  </si>
  <si>
    <t xml:space="preserve">Chromis insolata</t>
  </si>
  <si>
    <t xml:space="preserve">Dactylopterus volitans</t>
  </si>
  <si>
    <t xml:space="preserve">Diapterus rhombeus</t>
  </si>
  <si>
    <t xml:space="preserve">Diodon holocanthus</t>
  </si>
  <si>
    <t xml:space="preserve">Diplectrum bivittatum</t>
  </si>
  <si>
    <t xml:space="preserve">Diplogrammus pauciradiatus</t>
  </si>
  <si>
    <t xml:space="preserve">Eucinostomus argenteus</t>
  </si>
  <si>
    <t xml:space="preserve">Eucinostomus gula</t>
  </si>
  <si>
    <t xml:space="preserve">Fistularia tabacaria</t>
  </si>
  <si>
    <t xml:space="preserve">Gymnothorax ocellatus</t>
  </si>
  <si>
    <t xml:space="preserve">Haemulon aurolineatum</t>
  </si>
  <si>
    <t xml:space="preserve">Halichoeres pictus</t>
  </si>
  <si>
    <t xml:space="preserve">Halieutichthys aculeatus</t>
  </si>
  <si>
    <t xml:space="preserve">Hippocampus erectus</t>
  </si>
  <si>
    <t xml:space="preserve">Holocentrus adscensionis</t>
  </si>
  <si>
    <t xml:space="preserve">Lutjanus analis</t>
  </si>
  <si>
    <t xml:space="preserve">Lutjanus synagris</t>
  </si>
  <si>
    <t xml:space="preserve">Monacanthus ciliatus</t>
  </si>
  <si>
    <t xml:space="preserve">Myripristis jacobus</t>
  </si>
  <si>
    <t xml:space="preserve">Ogcocephalus parvus</t>
  </si>
  <si>
    <t xml:space="preserve">Ogcocephalus pumilus</t>
  </si>
  <si>
    <t xml:space="preserve">Peprilus paru</t>
  </si>
  <si>
    <t xml:space="preserve">Pontinus rathbuni</t>
  </si>
  <si>
    <t xml:space="preserve">Priacanthus arenatus</t>
  </si>
  <si>
    <t xml:space="preserve">Prionotus punctatus</t>
  </si>
  <si>
    <t xml:space="preserve">Pristipomoides aquilonaris</t>
  </si>
  <si>
    <t xml:space="preserve">Pronotogrammus martinicensis</t>
  </si>
  <si>
    <t xml:space="preserve">Pseudupeneus maculatus</t>
  </si>
  <si>
    <t xml:space="preserve">Rypticus bistrispinus</t>
  </si>
  <si>
    <t xml:space="preserve">Saurida brasiliensis</t>
  </si>
  <si>
    <t xml:space="preserve">Saurida normani</t>
  </si>
  <si>
    <t xml:space="preserve">Scorpaena albifimbria</t>
  </si>
  <si>
    <t xml:space="preserve">Scorpaena bergii</t>
  </si>
  <si>
    <t xml:space="preserve">Scorpaena calcarata</t>
  </si>
  <si>
    <t xml:space="preserve">Scorpaena isthmensis</t>
  </si>
  <si>
    <t xml:space="preserve">Serraniculus pumilio</t>
  </si>
  <si>
    <t xml:space="preserve">Serranus atrobranchus</t>
  </si>
  <si>
    <t xml:space="preserve">Serranus chionaraia</t>
  </si>
  <si>
    <t xml:space="preserve">Serranus flaviventris</t>
  </si>
  <si>
    <t xml:space="preserve">Serranus phoebe</t>
  </si>
  <si>
    <t xml:space="preserve">Serranus tortugarum</t>
  </si>
  <si>
    <t xml:space="preserve">Sphoeroides dorsalis</t>
  </si>
  <si>
    <t xml:space="preserve">Sphoeroides spengleri</t>
  </si>
  <si>
    <t xml:space="preserve">Starksia nanodes</t>
  </si>
  <si>
    <t xml:space="preserve">Stephanolepis setifer</t>
  </si>
  <si>
    <t xml:space="preserve">Syacium micrurum</t>
  </si>
  <si>
    <t xml:space="preserve">Syacium papillosum</t>
  </si>
  <si>
    <t xml:space="preserve">Symphurus diomedeanus</t>
  </si>
  <si>
    <t xml:space="preserve">Synodus foetens</t>
  </si>
  <si>
    <t xml:space="preserve">Synodus intermedius</t>
  </si>
  <si>
    <t xml:space="preserve">Synodus poeyi</t>
  </si>
  <si>
    <t xml:space="preserve">Synodus saurus</t>
  </si>
  <si>
    <t xml:space="preserve">Synodus synodus</t>
  </si>
  <si>
    <t xml:space="preserve">Thalassophryne maculosa</t>
  </si>
  <si>
    <t xml:space="preserve">Trachinocephalus myops</t>
  </si>
  <si>
    <t xml:space="preserve">Upeneus parvus</t>
  </si>
  <si>
    <t xml:space="preserve">E44</t>
  </si>
  <si>
    <t xml:space="preserve">N</t>
  </si>
  <si>
    <t xml:space="preserve">E45</t>
  </si>
  <si>
    <t xml:space="preserve">E48</t>
  </si>
  <si>
    <t xml:space="preserve">E49</t>
  </si>
  <si>
    <t xml:space="preserve">E51</t>
  </si>
  <si>
    <t xml:space="preserve">E52</t>
  </si>
  <si>
    <t xml:space="preserve">E53</t>
  </si>
  <si>
    <t xml:space="preserve">E56</t>
  </si>
  <si>
    <t xml:space="preserve">E57</t>
  </si>
  <si>
    <t xml:space="preserve">E60</t>
  </si>
  <si>
    <t xml:space="preserve">E61</t>
  </si>
  <si>
    <t xml:space="preserve">E62</t>
  </si>
  <si>
    <t xml:space="preserve">M</t>
  </si>
  <si>
    <t xml:space="preserve">E63</t>
  </si>
  <si>
    <t xml:space="preserve">E65</t>
  </si>
  <si>
    <t xml:space="preserve">E66</t>
  </si>
  <si>
    <t xml:space="preserve">E71</t>
  </si>
  <si>
    <t xml:space="preserve">S</t>
  </si>
  <si>
    <t xml:space="preserve">E72</t>
  </si>
  <si>
    <t xml:space="preserve">E74</t>
  </si>
  <si>
    <t xml:space="preserve">E77</t>
  </si>
  <si>
    <t xml:space="preserve">E78</t>
  </si>
  <si>
    <t xml:space="preserve">E79</t>
  </si>
  <si>
    <t xml:space="preserve">E80</t>
  </si>
  <si>
    <t xml:space="preserve">Abrev</t>
  </si>
  <si>
    <t xml:space="preserve">LatinName</t>
  </si>
  <si>
    <t xml:space="preserve">Family</t>
  </si>
  <si>
    <t xml:space="preserve">Guild</t>
  </si>
  <si>
    <t xml:space="preserve">TrophicLevel</t>
  </si>
  <si>
    <t xml:space="preserve">BodyLengthMax</t>
  </si>
  <si>
    <t xml:space="preserve">omnivory</t>
  </si>
  <si>
    <t xml:space="preserve">herbivory</t>
  </si>
  <si>
    <t xml:space="preserve">invertivory</t>
  </si>
  <si>
    <t xml:space="preserve">piscivory</t>
  </si>
  <si>
    <t xml:space="preserve">planktivory</t>
  </si>
  <si>
    <t xml:space="preserve">Acnpo</t>
  </si>
  <si>
    <t xml:space="preserve">Ostraciidae</t>
  </si>
  <si>
    <t xml:space="preserve">invertívoro de presas sésiles</t>
  </si>
  <si>
    <t xml:space="preserve">Acnba</t>
  </si>
  <si>
    <t xml:space="preserve">Acanthuridae</t>
  </si>
  <si>
    <t xml:space="preserve">herbívoro-detritívoro</t>
  </si>
  <si>
    <t xml:space="preserve">Achl</t>
  </si>
  <si>
    <t xml:space="preserve">Achiridae</t>
  </si>
  <si>
    <t xml:space="preserve">invertívoro de presas móviles</t>
  </si>
  <si>
    <t xml:space="preserve">Antpa</t>
  </si>
  <si>
    <t xml:space="preserve">Antennariidae</t>
  </si>
  <si>
    <t xml:space="preserve">piscívoro</t>
  </si>
  <si>
    <t xml:space="preserve">Ants</t>
  </si>
  <si>
    <t xml:space="preserve">Apgau</t>
  </si>
  <si>
    <t xml:space="preserve">Apogonidae</t>
  </si>
  <si>
    <t xml:space="preserve">planctívoro</t>
  </si>
  <si>
    <t xml:space="preserve">Apgpi</t>
  </si>
  <si>
    <t xml:space="preserve">Apgps</t>
  </si>
  <si>
    <t xml:space="preserve">Apgq</t>
  </si>
  <si>
    <t xml:space="preserve">Asta</t>
  </si>
  <si>
    <t xml:space="preserve">Alsm</t>
  </si>
  <si>
    <t xml:space="preserve">Aulostomidae</t>
  </si>
  <si>
    <t xml:space="preserve">Bllb</t>
  </si>
  <si>
    <t xml:space="preserve">Gobiidae</t>
  </si>
  <si>
    <t xml:space="preserve">Bthlu</t>
  </si>
  <si>
    <t xml:space="preserve">Bothidae</t>
  </si>
  <si>
    <t xml:space="preserve">Btho</t>
  </si>
  <si>
    <t xml:space="preserve">Clmpe</t>
  </si>
  <si>
    <t xml:space="preserve">Sparidae</t>
  </si>
  <si>
    <t xml:space="preserve">Cllb</t>
  </si>
  <si>
    <t xml:space="preserve">Callionymidae</t>
  </si>
  <si>
    <t xml:space="preserve">Chtse</t>
  </si>
  <si>
    <t xml:space="preserve">Chaetodontidae</t>
  </si>
  <si>
    <t xml:space="preserve">Chlan</t>
  </si>
  <si>
    <t xml:space="preserve">Diodontidae</t>
  </si>
  <si>
    <t xml:space="preserve">Chlch</t>
  </si>
  <si>
    <t xml:space="preserve">Carangidae</t>
  </si>
  <si>
    <t xml:space="preserve">Chri</t>
  </si>
  <si>
    <t xml:space="preserve">Pomacentridae</t>
  </si>
  <si>
    <t xml:space="preserve">Dctv</t>
  </si>
  <si>
    <t xml:space="preserve">Dactylopteridae</t>
  </si>
  <si>
    <t xml:space="preserve">Dptr</t>
  </si>
  <si>
    <t xml:space="preserve">Gerreidae</t>
  </si>
  <si>
    <t xml:space="preserve">omnívoro</t>
  </si>
  <si>
    <t xml:space="preserve">Ddnh</t>
  </si>
  <si>
    <t xml:space="preserve">Dplbi</t>
  </si>
  <si>
    <t xml:space="preserve">Serranidae</t>
  </si>
  <si>
    <t xml:space="preserve">Dplpa</t>
  </si>
  <si>
    <t xml:space="preserve">Ecna</t>
  </si>
  <si>
    <t xml:space="preserve">Ecng</t>
  </si>
  <si>
    <t xml:space="preserve">Fstt</t>
  </si>
  <si>
    <t xml:space="preserve">Fistulariidae</t>
  </si>
  <si>
    <t xml:space="preserve">Gymo</t>
  </si>
  <si>
    <t xml:space="preserve">Muraenidae</t>
  </si>
  <si>
    <t xml:space="preserve">Hmlau</t>
  </si>
  <si>
    <t xml:space="preserve">Haemulidae</t>
  </si>
  <si>
    <t xml:space="preserve">Hlcpi</t>
  </si>
  <si>
    <t xml:space="preserve">Labridae</t>
  </si>
  <si>
    <t xml:space="preserve">Hlta</t>
  </si>
  <si>
    <t xml:space="preserve">Ogcocephalidae</t>
  </si>
  <si>
    <t xml:space="preserve">Hppe</t>
  </si>
  <si>
    <t xml:space="preserve">Syngnathidae</t>
  </si>
  <si>
    <t xml:space="preserve">Hlcad</t>
  </si>
  <si>
    <t xml:space="preserve">Holocentridae</t>
  </si>
  <si>
    <t xml:space="preserve">Ltjan</t>
  </si>
  <si>
    <t xml:space="preserve">Lutjanidae</t>
  </si>
  <si>
    <t xml:space="preserve">Ltjs</t>
  </si>
  <si>
    <t xml:space="preserve">Mncc</t>
  </si>
  <si>
    <t xml:space="preserve">Monacanthidae</t>
  </si>
  <si>
    <t xml:space="preserve">Myrj</t>
  </si>
  <si>
    <t xml:space="preserve">Ogcpa</t>
  </si>
  <si>
    <t xml:space="preserve">Ogcpu</t>
  </si>
  <si>
    <t xml:space="preserve">Pprp</t>
  </si>
  <si>
    <t xml:space="preserve">Stromateidae</t>
  </si>
  <si>
    <t xml:space="preserve">Pntr</t>
  </si>
  <si>
    <t xml:space="preserve">Scorpaenidae</t>
  </si>
  <si>
    <t xml:space="preserve">Prcare</t>
  </si>
  <si>
    <t xml:space="preserve">Priacanthidae</t>
  </si>
  <si>
    <t xml:space="preserve">Prnp</t>
  </si>
  <si>
    <t xml:space="preserve">Triglidae</t>
  </si>
  <si>
    <t xml:space="preserve">Prsaq</t>
  </si>
  <si>
    <t xml:space="preserve">Prnma</t>
  </si>
  <si>
    <t xml:space="preserve">Psdm</t>
  </si>
  <si>
    <t xml:space="preserve">Mullidae</t>
  </si>
  <si>
    <t xml:space="preserve">Rypbi</t>
  </si>
  <si>
    <t xml:space="preserve">Srdbr</t>
  </si>
  <si>
    <t xml:space="preserve">Synodontidae</t>
  </si>
  <si>
    <t xml:space="preserve">Srdn</t>
  </si>
  <si>
    <t xml:space="preserve">Scral</t>
  </si>
  <si>
    <t xml:space="preserve">Scrb</t>
  </si>
  <si>
    <t xml:space="preserve">Scrca</t>
  </si>
  <si>
    <t xml:space="preserve">Scrist</t>
  </si>
  <si>
    <t xml:space="preserve">Srrp</t>
  </si>
  <si>
    <t xml:space="preserve">Srratr</t>
  </si>
  <si>
    <t xml:space="preserve">Srrch</t>
  </si>
  <si>
    <t xml:space="preserve">Srrf</t>
  </si>
  <si>
    <t xml:space="preserve">Srrph</t>
  </si>
  <si>
    <t xml:space="preserve">Srrto</t>
  </si>
  <si>
    <t xml:space="preserve">Sphd</t>
  </si>
  <si>
    <t xml:space="preserve">Tetraodontidae</t>
  </si>
  <si>
    <t xml:space="preserve">Sphs</t>
  </si>
  <si>
    <t xml:space="preserve">Strn</t>
  </si>
  <si>
    <t xml:space="preserve">Labrisomidae</t>
  </si>
  <si>
    <t xml:space="preserve">Stps</t>
  </si>
  <si>
    <t xml:space="preserve">Sycm</t>
  </si>
  <si>
    <t xml:space="preserve">Paralichthyidae</t>
  </si>
  <si>
    <t xml:space="preserve">Sycp</t>
  </si>
  <si>
    <t xml:space="preserve">Symdi</t>
  </si>
  <si>
    <t xml:space="preserve">Cynoglossidae</t>
  </si>
  <si>
    <t xml:space="preserve">Synfo</t>
  </si>
  <si>
    <t xml:space="preserve">Syni</t>
  </si>
  <si>
    <t xml:space="preserve">Synpo</t>
  </si>
  <si>
    <t xml:space="preserve">Synsa</t>
  </si>
  <si>
    <t xml:space="preserve">Synsy</t>
  </si>
  <si>
    <t xml:space="preserve">Thlm</t>
  </si>
  <si>
    <t xml:space="preserve">Batrachoididae</t>
  </si>
  <si>
    <t xml:space="preserve">Trcm</t>
  </si>
  <si>
    <t xml:space="preserve">Upnp</t>
  </si>
  <si>
    <t xml:space="preserve">Code</t>
  </si>
  <si>
    <t xml:space="preserve">Station</t>
  </si>
  <si>
    <t xml:space="preserve">Campaign</t>
  </si>
  <si>
    <t xml:space="preserve">Year</t>
  </si>
  <si>
    <t xml:space="preserve">Depth_m</t>
  </si>
  <si>
    <t xml:space="preserve">Longitude</t>
  </si>
  <si>
    <t xml:space="preserve">Latitude</t>
  </si>
  <si>
    <t xml:space="preserve">G201</t>
  </si>
  <si>
    <t xml:space="preserve">Macrofauna II</t>
  </si>
  <si>
    <t xml:space="preserve">G71</t>
  </si>
  <si>
    <t xml:space="preserve">G72</t>
  </si>
  <si>
    <t xml:space="preserve">G22</t>
  </si>
  <si>
    <t xml:space="preserve">P71</t>
  </si>
  <si>
    <t xml:space="preserve">P201</t>
  </si>
  <si>
    <t xml:space="preserve">P72</t>
  </si>
  <si>
    <t xml:space="preserve">T21</t>
  </si>
  <si>
    <t xml:space="preserve">T71</t>
  </si>
  <si>
    <t xml:space="preserve">T72</t>
  </si>
  <si>
    <t xml:space="preserve">T22</t>
  </si>
  <si>
    <t xml:space="preserve">M21</t>
  </si>
  <si>
    <t xml:space="preserve">M71</t>
  </si>
  <si>
    <t xml:space="preserve">M22</t>
  </si>
  <si>
    <t xml:space="preserve">M72</t>
  </si>
  <si>
    <t xml:space="preserve">C71</t>
  </si>
  <si>
    <t xml:space="preserve">C72</t>
  </si>
  <si>
    <t xml:space="preserve">C21</t>
  </si>
  <si>
    <t xml:space="preserve">D71</t>
  </si>
  <si>
    <t xml:space="preserve">D201</t>
  </si>
  <si>
    <t xml:space="preserve">D202</t>
  </si>
  <si>
    <t xml:space="preserve">M201</t>
  </si>
  <si>
    <t xml:space="preserve">Zone1</t>
  </si>
  <si>
    <t xml:space="preserve">Ecoregion</t>
  </si>
  <si>
    <t xml:space="preserve">Depth_class</t>
  </si>
  <si>
    <t xml:space="preserve">Dist_km</t>
  </si>
  <si>
    <t xml:space="preserve">T</t>
  </si>
  <si>
    <t xml:space="preserve">Sal</t>
  </si>
  <si>
    <t xml:space="preserve">Den</t>
  </si>
  <si>
    <t xml:space="preserve">O2</t>
  </si>
  <si>
    <t xml:space="preserve">Chla</t>
  </si>
  <si>
    <t xml:space="preserve">G</t>
  </si>
  <si>
    <t xml:space="preserve">20m</t>
  </si>
  <si>
    <t xml:space="preserve">70m</t>
  </si>
  <si>
    <t xml:space="preserve">P</t>
  </si>
  <si>
    <t xml:space="preserve">A</t>
  </si>
  <si>
    <t xml:space="preserve">Mor</t>
  </si>
  <si>
    <t xml:space="preserve">D</t>
  </si>
  <si>
    <t xml:space="preserve">Diet_code</t>
  </si>
  <si>
    <t xml:space="preserve">Home_range</t>
  </si>
  <si>
    <t xml:space="preserve">Diel_activity</t>
  </si>
  <si>
    <t xml:space="preserve">Size_group</t>
  </si>
  <si>
    <t xml:space="preserve">Level_water</t>
  </si>
  <si>
    <t xml:space="preserve">Body_shape</t>
  </si>
  <si>
    <t xml:space="preserve">Caudal_fin</t>
  </si>
  <si>
    <t xml:space="preserve">Mouth_position</t>
  </si>
  <si>
    <t xml:space="preserve">Spawning</t>
  </si>
  <si>
    <t xml:space="preserve">Depth_max</t>
  </si>
  <si>
    <t xml:space="preserve">Aspect_ratio</t>
  </si>
  <si>
    <t xml:space="preserve">Atlantico</t>
  </si>
  <si>
    <t xml:space="preserve">Caribe_Prov12</t>
  </si>
  <si>
    <t xml:space="preserve">is</t>
  </si>
  <si>
    <t xml:space="preserve">mob</t>
  </si>
  <si>
    <t xml:space="preserve">day</t>
  </si>
  <si>
    <t xml:space="preserve">sol</t>
  </si>
  <si>
    <t xml:space="preserve">low</t>
  </si>
  <si>
    <t xml:space="preserve">box_shaped</t>
  </si>
  <si>
    <t xml:space="preserve">rounded</t>
  </si>
  <si>
    <t xml:space="preserve">subterminal</t>
  </si>
  <si>
    <t xml:space="preserve">pelagic</t>
  </si>
  <si>
    <t xml:space="preserve">hd</t>
  </si>
  <si>
    <t xml:space="preserve">medg</t>
  </si>
  <si>
    <t xml:space="preserve">compressed</t>
  </si>
  <si>
    <t xml:space="preserve">truncated</t>
  </si>
  <si>
    <t xml:space="preserve">terminal</t>
  </si>
  <si>
    <t xml:space="preserve">im</t>
  </si>
  <si>
    <t xml:space="preserve">sed</t>
  </si>
  <si>
    <t xml:space="preserve">night</t>
  </si>
  <si>
    <t xml:space="preserve">bottom</t>
  </si>
  <si>
    <t xml:space="preserve">depressed</t>
  </si>
  <si>
    <t xml:space="preserve">fc</t>
  </si>
  <si>
    <t xml:space="preserve">superior</t>
  </si>
  <si>
    <t xml:space="preserve">attach</t>
  </si>
  <si>
    <t xml:space="preserve">pk</t>
  </si>
  <si>
    <t xml:space="preserve">fusiform</t>
  </si>
  <si>
    <t xml:space="preserve">forked</t>
  </si>
  <si>
    <t xml:space="preserve">oral</t>
  </si>
  <si>
    <t xml:space="preserve">smallg</t>
  </si>
  <si>
    <t xml:space="preserve">elongated</t>
  </si>
  <si>
    <t xml:space="preserve">tubular</t>
  </si>
  <si>
    <t xml:space="preserve">lanceolated</t>
  </si>
  <si>
    <t xml:space="preserve">demersal</t>
  </si>
  <si>
    <t xml:space="preserve">both</t>
  </si>
  <si>
    <t xml:space="preserve">pair</t>
  </si>
  <si>
    <t xml:space="preserve">vmob</t>
  </si>
  <si>
    <t xml:space="preserve">largeg</t>
  </si>
  <si>
    <t xml:space="preserve">high</t>
  </si>
  <si>
    <t xml:space="preserve">om</t>
  </si>
  <si>
    <t xml:space="preserve">eel_like</t>
  </si>
  <si>
    <t xml:space="preserve">pointed</t>
  </si>
  <si>
    <t xml:space="preserve">live</t>
  </si>
  <si>
    <t xml:space="preserve">Anchoa cf. lyolepis</t>
  </si>
  <si>
    <t xml:space="preserve">Anchoa cubana</t>
  </si>
  <si>
    <t xml:space="preserve">Antennarius bermudensis</t>
  </si>
  <si>
    <t xml:space="preserve">Antigonia capros</t>
  </si>
  <si>
    <t xml:space="preserve">Apogon affinis</t>
  </si>
  <si>
    <t xml:space="preserve">Bathyanthias mexicanus</t>
  </si>
  <si>
    <t xml:space="preserve">Bellator brachychir</t>
  </si>
  <si>
    <t xml:space="preserve">Bellator riberoi</t>
  </si>
  <si>
    <t xml:space="preserve">Bembrops anatirostris</t>
  </si>
  <si>
    <t xml:space="preserve">Bollmannia sp.</t>
  </si>
  <si>
    <t xml:space="preserve">Bregmaceros atlanticus</t>
  </si>
  <si>
    <t xml:space="preserve">Chirocentrodon bleekerianus</t>
  </si>
  <si>
    <t xml:space="preserve">Citharichthys cornutus</t>
  </si>
  <si>
    <t xml:space="preserve">Citharichthys gymnorhinus</t>
  </si>
  <si>
    <t xml:space="preserve">Citharichthys macrops</t>
  </si>
  <si>
    <t xml:space="preserve">Citharichthys spilopterus</t>
  </si>
  <si>
    <t xml:space="preserve">Ctenosciaena gracilicirrhus</t>
  </si>
  <si>
    <t xml:space="preserve">Cyclopsetta chittendeni</t>
  </si>
  <si>
    <t xml:space="preserve">Dibranchus atlanticus</t>
  </si>
  <si>
    <t xml:space="preserve">Diplobatis colombiensis</t>
  </si>
  <si>
    <t xml:space="preserve">Diplobatis guamachensis</t>
  </si>
  <si>
    <t xml:space="preserve">Emblemaria sp.</t>
  </si>
  <si>
    <t xml:space="preserve">Engyophrys sentus</t>
  </si>
  <si>
    <t xml:space="preserve">Epinephelus niveatus</t>
  </si>
  <si>
    <t xml:space="preserve">Equetus sp.</t>
  </si>
  <si>
    <t xml:space="preserve">Etropus crossotus</t>
  </si>
  <si>
    <t xml:space="preserve">Eucinostomus harengulus</t>
  </si>
  <si>
    <t xml:space="preserve">Gobionellus sp.</t>
  </si>
  <si>
    <t xml:space="preserve">Gymnachirus nudus</t>
  </si>
  <si>
    <t xml:space="preserve">Halichoeres sp.</t>
  </si>
  <si>
    <t xml:space="preserve">Hemanthias vivanus</t>
  </si>
  <si>
    <t xml:space="preserve">Isopisthus parvipinnis</t>
  </si>
  <si>
    <t xml:space="preserve">Lagocephalus lagocephalus</t>
  </si>
  <si>
    <t xml:space="preserve">Larimus breviceps</t>
  </si>
  <si>
    <t xml:space="preserve">Lepophidium pheromystax</t>
  </si>
  <si>
    <t xml:space="preserve">Lepophidium sp1.</t>
  </si>
  <si>
    <t xml:space="preserve">Lonchopisthus lemur</t>
  </si>
  <si>
    <t xml:space="preserve">Macrodon ancylodon</t>
  </si>
  <si>
    <t xml:space="preserve">Neobythites gilli</t>
  </si>
  <si>
    <t xml:space="preserve">Neomerinthe beanorum</t>
  </si>
  <si>
    <t xml:space="preserve">Ogcocephalus sp.</t>
  </si>
  <si>
    <t xml:space="preserve">Ophichthus cruentifer</t>
  </si>
  <si>
    <t xml:space="preserve">Pellona harroweri</t>
  </si>
  <si>
    <t xml:space="preserve">Poecilopsetta inermis</t>
  </si>
  <si>
    <t xml:space="preserve">Porichthys pauciradiatus</t>
  </si>
  <si>
    <t xml:space="preserve">Porichthys plectrodon</t>
  </si>
  <si>
    <t xml:space="preserve">Prionotus beanii</t>
  </si>
  <si>
    <t xml:space="preserve">Prionotus sp.</t>
  </si>
  <si>
    <t xml:space="preserve">Prionotus stearnsi</t>
  </si>
  <si>
    <t xml:space="preserve">Pristipomoides macrophthalmus</t>
  </si>
  <si>
    <t xml:space="preserve">Rhinobatos percellens</t>
  </si>
  <si>
    <t xml:space="preserve">Rhynchoconger flavus</t>
  </si>
  <si>
    <t xml:space="preserve">Saurida sp.</t>
  </si>
  <si>
    <t xml:space="preserve">Selar sp.</t>
  </si>
  <si>
    <t xml:space="preserve">Selene brownii</t>
  </si>
  <si>
    <t xml:space="preserve">Serranus sp1.</t>
  </si>
  <si>
    <t xml:space="preserve">Sphoeroides georgemilleri</t>
  </si>
  <si>
    <t xml:space="preserve">Sphoeroides sp.</t>
  </si>
  <si>
    <t xml:space="preserve">Stellifer microps</t>
  </si>
  <si>
    <t xml:space="preserve">Stellifer sp.</t>
  </si>
  <si>
    <t xml:space="preserve">Syacium gunteri</t>
  </si>
  <si>
    <t xml:space="preserve">Symphurus caribbeanus</t>
  </si>
  <si>
    <t xml:space="preserve">Symphurus hernandezi</t>
  </si>
  <si>
    <t xml:space="preserve">Symphurus parvus</t>
  </si>
  <si>
    <t xml:space="preserve">Symphurus pelicanus</t>
  </si>
  <si>
    <t xml:space="preserve">Symphurus piger</t>
  </si>
  <si>
    <t xml:space="preserve">Symphurus sp.</t>
  </si>
  <si>
    <t xml:space="preserve">Symphurus tesellatus</t>
  </si>
  <si>
    <t xml:space="preserve">Synagrops bellus</t>
  </si>
  <si>
    <t xml:space="preserve">Synagrops spinosus</t>
  </si>
  <si>
    <t xml:space="preserve">Trichiurus lepturus</t>
  </si>
  <si>
    <t xml:space="preserve">Trichopsetta caribbaea</t>
  </si>
  <si>
    <t xml:space="preserve">Urobatis jamaicensis</t>
  </si>
  <si>
    <t xml:space="preserve">Uroconger syringinus</t>
  </si>
  <si>
    <t xml:space="preserve">NombreOriginal_Vides</t>
  </si>
  <si>
    <t xml:space="preserve">NombreLimpio</t>
  </si>
  <si>
    <t xml:space="preserve">Tipo</t>
  </si>
  <si>
    <t xml:space="preserve">Estado_rasgos</t>
  </si>
  <si>
    <t xml:space="preserve">Individuos</t>
  </si>
  <si>
    <t xml:space="preserve">Estaciones</t>
  </si>
  <si>
    <t xml:space="preserve">Cambio_de_nombre</t>
  </si>
  <si>
    <t xml:space="preserve">Acanthostracion poligonius</t>
  </si>
  <si>
    <t xml:space="preserve">especie</t>
  </si>
  <si>
    <t xml:space="preserve">con rasgos (variante ortográfica corregida)</t>
  </si>
  <si>
    <t xml:space="preserve">con rasgos (nombre exacto)</t>
  </si>
  <si>
    <t xml:space="preserve">morfoespecie</t>
  </si>
  <si>
    <t xml:space="preserve">sin rasgos (morfoespecie)</t>
  </si>
  <si>
    <t xml:space="preserve">sin rasgos (nombre no encontrado en Quimbayo)</t>
  </si>
  <si>
    <t xml:space="preserve">Bollmannia  boqueronensis</t>
  </si>
  <si>
    <t xml:space="preserve">Bollmannia  sp.</t>
  </si>
  <si>
    <t xml:space="preserve">Emblemaria  sp.</t>
  </si>
  <si>
    <t xml:space="preserve">Gobionellus  sp.</t>
  </si>
  <si>
    <t xml:space="preserve">Haemulon aurolineatum </t>
  </si>
  <si>
    <t xml:space="preserve">Halieutichthys aculeatus </t>
  </si>
  <si>
    <t xml:space="preserve">Neobythites gilli </t>
  </si>
  <si>
    <t xml:space="preserve">Poecilopsetta inermis </t>
  </si>
  <si>
    <t xml:space="preserve">Prionotus   sp.</t>
  </si>
  <si>
    <t xml:space="preserve">Pristipomoides aquilionaris</t>
  </si>
  <si>
    <t xml:space="preserve">Rhinobatos percellens </t>
  </si>
  <si>
    <t xml:space="preserve">Synagrops spinosus </t>
  </si>
  <si>
    <t xml:space="preserve">Peces de la plataforma somera (≤ 100 m) del Caribe colombiano: subconjunto de Vides (2011) con rasgos de Quimbayo et al. (2021), en el formato del taller</t>
  </si>
  <si>
    <t xml:space="preserve">1. Fuentes y créditos</t>
  </si>
  <si>
    <t xml:space="preserve">Abundancias y variables ambientales: Vides, M.P. (2011). Distribución de la megafauna bentónica del Caribe colombiano asociada a variables ambientales del fondo marino. Boletín de Investigaciones Marinas y Costeras, 40(2), 249–270. Datos de INVEMAR (expediciones Macrofauna I, Macrofauna II y ANH I; INVEMAR-ANH, 2008). Se usan con autorización, según lo informado por el docente; el texto de créditos debe confirmarse con la institución.</t>
  </si>
  <si>
    <t xml:space="preserve">Rasgos: Quimbayo, J.P., Silva, F.C., Mendes, T.C., Ferrari, D.S., Danielski, S.L., Bender, M.G., Parravicini, V., Kulbicki, M. y Floeter, S.R. (2021). Life-history traits, geographical range, and conservation aspects of reef fishes from the Atlantic and Eastern Pacific. Ecology, 102(5), e03298. doi:10.1002/ecy.3298. Datos: Zenodo, doi:10.5281/zenodo.4455016.</t>
  </si>
  <si>
    <t xml:space="preserve">2. Hojas del libro</t>
  </si>
  <si>
    <t xml:space="preserve">Hoja</t>
  </si>
  <si>
    <t xml:space="preserve">Contenido</t>
  </si>
  <si>
    <t xml:space="preserve">tax</t>
  </si>
  <si>
    <t xml:space="preserve">Matriz sitios × especies (22 × 75): solo las especies con rasgos, en el mismo orden que la hoja rasgos. Sites1 es la región (N, M, S).</t>
  </si>
  <si>
    <t xml:space="preserve">rasgos</t>
  </si>
  <si>
    <t xml:space="preserve">Rasgos de las 75 especies de tax, con el diseño de la hoja rasgos del caso guiado (dieta con una sola categoría por especie).</t>
  </si>
  <si>
    <t xml:space="preserve">coord</t>
  </si>
  <si>
    <t xml:space="preserve">Coordenadas, estación original, campaña, año y profundidad de cada sitio, en el mismo orden que tax.</t>
  </si>
  <si>
    <t xml:space="preserve">amb</t>
  </si>
  <si>
    <t xml:space="preserve">Zonas, estrato de profundidad y variables ambientales de cada sitio, en el mismo orden que tax.</t>
  </si>
  <si>
    <t xml:space="preserve">rasgos_extra</t>
  </si>
  <si>
    <t xml:space="preserve">Rasgos adicionales de Quimbayo (categóricos y numéricos) de las mismas 75 especies; se unen por LatinName. Los vacíos son datos faltantes.</t>
  </si>
  <si>
    <t xml:space="preserve">tax_completa</t>
  </si>
  <si>
    <t xml:space="preserve">Matriz sitios × taxones (22 × 149) con todos los peces de estas estaciones, con y sin rasgos. Es la que corresponde a diversidad taxonómica.</t>
  </si>
  <si>
    <t xml:space="preserve">nombres</t>
  </si>
  <si>
    <t xml:space="preserve">Cruce de nombres: nombre original, nombre limpio, tipo y estado de los rasgos de cada taxón.</t>
  </si>
  <si>
    <t xml:space="preserve">3. Cómo se construyó</t>
  </si>
  <si>
    <t xml:space="preserve">• Estaciones: las 22 con profundidad ≤ 100 m y datos biológicos. Todas son de la campaña Macrofauna II (2001). La estación E73 (89 m) figura en la hoja ambiental original, pero no tiene datos biológicos.</t>
  </si>
  <si>
    <t xml:space="preserve">• Peces: grupo «Peces» de la hoja Biol; se conservan los taxones con abundancia mayor que cero en estas estaciones.</t>
  </si>
  <si>
    <t xml:space="preserve">• Limpieza: se usa el código de estación E1–E96 como clave (en el archivo original, 8 códigos de la fila 2 de Biol traen un espacio inicial); se eliminaron espacios múltiples y finales en los nombres; no quedan columnas ni filas sin registros. La columna Cambio_de_nombre de la hoja nombres marca tanto las correcciones de espacios como las de ortografía.</t>
  </si>
  <si>
    <t xml:space="preserve">• Variantes ortográficas corregidas (mismo género, epíteto casi idéntico), pendientes de validar con una base taxonómica como WoRMS: Acanthostracion poligonius → Acanthostracion polygonius; Pristipomoides aquilionaris → Pristipomoides aquilonaris.</t>
  </si>
  <si>
    <t xml:space="preserve">• Zona: Zone1 es la columna Región del archivo original (N, M, S; el significado exacto de las letras está por confirmar). Depth_class es una regla propia: 20m (profundidad ≤ 50 m; 11 estaciones, 19.5–32.5 m) y 70m (&gt; 50 m; 11 estaciones, 67–89 m).</t>
  </si>
  <si>
    <t xml:space="preserve">• Rasgos: tomados de Quimbayo et al. (2021) por coincidencia exacta del nombre científico, con la misma organización de la hoja rasgos de esa base para el curso (Guild traducida, dieta con una categoría por especie, BodyLengthMax en cm).</t>
  </si>
  <si>
    <t xml:space="preserve">4. Advertencias</t>
  </si>
  <si>
    <t xml:space="preserve">• La hoja tax contiene solo las especies con rasgos. Los peces de estas estaciones sin rasgos (nombre no encontrado en Quimbayo o morfoespecie) están en tax_completa; analizar solo tax deja fuera casi la mitad de los individuos.</t>
  </si>
  <si>
    <t xml:space="preserve">• La dieta varía poco entre las especies de tax: la mayoría es invertívora (ver conteos abajo). Las categorías omnivory y herbivory tienen una o dos especies.</t>
  </si>
  <si>
    <t xml:space="preserve">• Los rasgos son a escala de especie y provienen de una base de peces arrecifales, mientras que los datos de abundancia son de capturas con red de arrastre demersal (dos arrastres de 10 min por sitio, según el protocolo del artículo). Cada sitio se muestreó una vez: las estaciones no son réplicas.</t>
  </si>
  <si>
    <t xml:space="preserve">• Las variables ambientales son estimaciones de modelos globales cercanas al fondo, según el artículo, y están muy correlacionadas con la profundidad; no son mediciones independientes por estación.</t>
  </si>
  <si>
    <t xml:space="preserve">• Unidades sin documentar en el archivo original: T (°C), Sal, Den, Chla y Dist_km (parece una distancia acumulada a lo largo de la costa). El encabezado original de O2 decía «O2%», pero los valores (≈ 4–6) coinciden con ml/L según la Figura 2 del artículo; la unidad debe confirmarse.</t>
  </si>
  <si>
    <t xml:space="preserve">• Con 22 estaciones, el tamaño muestral es modesto: los resultados deben interpretarse con cautela.</t>
  </si>
  <si>
    <t xml:space="preserve">5. Verificaciones y cifras (calculadas con fórmulas)</t>
  </si>
  <si>
    <t xml:space="preserve">Indicador</t>
  </si>
  <si>
    <t xml:space="preserve">Valor</t>
  </si>
  <si>
    <t xml:space="preserve">Nota</t>
  </si>
  <si>
    <t xml:space="preserve">Estaciones en tax</t>
  </si>
  <si>
    <t xml:space="preserve">Estaciones en coord y en amb</t>
  </si>
  <si>
    <t xml:space="preserve">Mismo orden que tax.</t>
  </si>
  <si>
    <t xml:space="preserve">Especies en tax</t>
  </si>
  <si>
    <t xml:space="preserve">Especies en rasgos</t>
  </si>
  <si>
    <t xml:space="preserve">tax y rasgos con las mismas especies</t>
  </si>
  <si>
    <t xml:space="preserve">Verificado también en el mismo orden.</t>
  </si>
  <si>
    <t xml:space="preserve">Taxones en tax_completa</t>
  </si>
  <si>
    <t xml:space="preserve">Especies y morfoespecies.</t>
  </si>
  <si>
    <t xml:space="preserve">Individuos en tax</t>
  </si>
  <si>
    <t xml:space="preserve">Individuos en tax_completa</t>
  </si>
  <si>
    <t xml:space="preserve">Individuos cubiertos con rasgos</t>
  </si>
  <si>
    <t xml:space="preserve">Proporción de tax respecto de tax_completa.</t>
  </si>
  <si>
    <t xml:space="preserve">Especies con rasgos (nombre exacto)</t>
  </si>
  <si>
    <t xml:space="preserve">Especies con rasgos (variante corregida)</t>
  </si>
  <si>
    <t xml:space="preserve">Especies sin rasgos (nombre no encontrado)</t>
  </si>
  <si>
    <t xml:space="preserve">Morfoespecies sin rasgos</t>
  </si>
  <si>
    <t xml:space="preserve">Especies de tax con dieta invertivory</t>
  </si>
  <si>
    <t xml:space="preserve">Especies de tax con dieta piscivory</t>
  </si>
  <si>
    <t xml:space="preserve">Especies de tax con dieta planktivory</t>
  </si>
  <si>
    <t xml:space="preserve">Especies de tax con dieta omnivory</t>
  </si>
  <si>
    <t xml:space="preserve">Especies de tax con dieta herbivory</t>
  </si>
</sst>
</file>

<file path=xl/styles.xml><?xml version="1.0" encoding="utf-8"?>
<styleSheet xmlns="http://schemas.openxmlformats.org/spreadsheetml/2006/main">
  <numFmts count="8">
    <numFmt numFmtId="164" formatCode="General"/>
    <numFmt numFmtId="165" formatCode="0.0"/>
    <numFmt numFmtId="166" formatCode="0.000000"/>
    <numFmt numFmtId="167" formatCode="0.00"/>
    <numFmt numFmtId="168" formatCode="0.000"/>
    <numFmt numFmtId="169" formatCode="0"/>
    <numFmt numFmtId="170" formatCode="General"/>
    <numFmt numFmtId="171" formatCode="0.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2"/>
      <name val="Arial"/>
      <family val="0"/>
      <charset val="1"/>
    </font>
    <font>
      <b val="true"/>
      <sz val="11"/>
      <name val="Arial"/>
      <family val="0"/>
      <charset val="1"/>
    </font>
  </fonts>
  <fills count="3">
    <fill>
      <patternFill patternType="none"/>
    </fill>
    <fill>
      <patternFill patternType="gray125"/>
    </fill>
    <fill>
      <patternFill patternType="solid">
        <fgColor rgb="FFD9E2EC"/>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right" vertical="top" textRotation="0" wrapText="true" indent="0" shrinkToFit="false"/>
      <protection locked="true" hidden="false"/>
    </xf>
    <xf numFmtId="170" fontId="5" fillId="0" borderId="1" xfId="0" applyFont="true" applyBorder="true" applyAlignment="true" applyProtection="false">
      <alignment horizontal="right" vertical="top" textRotation="0" wrapText="true" indent="0" shrinkToFit="false"/>
      <protection locked="true" hidden="false"/>
    </xf>
    <xf numFmtId="171" fontId="5" fillId="0" borderId="1" xfId="0" applyFont="true" applyBorder="true" applyAlignment="true" applyProtection="false">
      <alignment horizontal="righ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Y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77" min="3" style="0" width="15"/>
  </cols>
  <sheetData>
    <row r="1" customFormat="false" ht="48"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row>
    <row r="2" customFormat="false" ht="15" hidden="false" customHeight="false" outlineLevel="0" collapsed="false">
      <c r="A2" s="2" t="s">
        <v>77</v>
      </c>
      <c r="B2" s="2" t="s">
        <v>78</v>
      </c>
      <c r="C2" s="2" t="n">
        <v>0</v>
      </c>
      <c r="D2" s="2" t="n">
        <v>0</v>
      </c>
      <c r="E2" s="2" t="n">
        <v>0</v>
      </c>
      <c r="F2" s="2" t="n">
        <v>0</v>
      </c>
      <c r="G2" s="2" t="n">
        <v>0</v>
      </c>
      <c r="H2" s="2" t="n">
        <v>0</v>
      </c>
      <c r="I2" s="2" t="n">
        <v>0</v>
      </c>
      <c r="J2" s="2" t="n">
        <v>0</v>
      </c>
      <c r="K2" s="2" t="n">
        <v>0</v>
      </c>
      <c r="L2" s="2" t="n">
        <v>0</v>
      </c>
      <c r="M2" s="2" t="n">
        <v>0</v>
      </c>
      <c r="N2" s="2" t="n">
        <v>0</v>
      </c>
      <c r="O2" s="2" t="n">
        <v>0</v>
      </c>
      <c r="P2" s="2" t="n">
        <v>0</v>
      </c>
      <c r="Q2" s="2" t="n">
        <v>0</v>
      </c>
      <c r="R2" s="2" t="n">
        <v>0</v>
      </c>
      <c r="S2" s="2" t="n">
        <v>0</v>
      </c>
      <c r="T2" s="2" t="n">
        <v>0</v>
      </c>
      <c r="U2" s="2" t="n">
        <v>20</v>
      </c>
      <c r="V2" s="2" t="n">
        <v>0</v>
      </c>
      <c r="W2" s="2" t="n">
        <v>0</v>
      </c>
      <c r="X2" s="2" t="n">
        <v>1</v>
      </c>
      <c r="Y2" s="2" t="n">
        <v>0</v>
      </c>
      <c r="Z2" s="2" t="n">
        <v>0</v>
      </c>
      <c r="AA2" s="2" t="n">
        <v>0</v>
      </c>
      <c r="AB2" s="2" t="n">
        <v>0</v>
      </c>
      <c r="AC2" s="2" t="n">
        <v>0</v>
      </c>
      <c r="AD2" s="2" t="n">
        <v>0</v>
      </c>
      <c r="AE2" s="2" t="n">
        <v>0</v>
      </c>
      <c r="AF2" s="2" t="n">
        <v>0</v>
      </c>
      <c r="AG2" s="2" t="n">
        <v>0</v>
      </c>
      <c r="AH2" s="2" t="n">
        <v>1</v>
      </c>
      <c r="AI2" s="2" t="n">
        <v>0</v>
      </c>
      <c r="AJ2" s="2" t="n">
        <v>0</v>
      </c>
      <c r="AK2" s="2" t="n">
        <v>0</v>
      </c>
      <c r="AL2" s="2" t="n">
        <v>0</v>
      </c>
      <c r="AM2" s="2" t="n">
        <v>0</v>
      </c>
      <c r="AN2" s="2" t="n">
        <v>0</v>
      </c>
      <c r="AO2" s="2" t="n">
        <v>0</v>
      </c>
      <c r="AP2" s="2" t="n">
        <v>0</v>
      </c>
      <c r="AQ2" s="2" t="n">
        <v>43</v>
      </c>
      <c r="AR2" s="2" t="n">
        <v>0</v>
      </c>
      <c r="AS2" s="2" t="n">
        <v>0</v>
      </c>
      <c r="AT2" s="2" t="n">
        <v>30</v>
      </c>
      <c r="AU2" s="2" t="n">
        <v>0</v>
      </c>
      <c r="AV2" s="2" t="n">
        <v>0</v>
      </c>
      <c r="AW2" s="2" t="n">
        <v>0</v>
      </c>
      <c r="AX2" s="2" t="n">
        <v>0</v>
      </c>
      <c r="AY2" s="2" t="n">
        <v>0</v>
      </c>
      <c r="AZ2" s="2" t="n">
        <v>0</v>
      </c>
      <c r="BA2" s="2" t="n">
        <v>0</v>
      </c>
      <c r="BB2" s="2" t="n">
        <v>1</v>
      </c>
      <c r="BC2" s="2" t="n">
        <v>0</v>
      </c>
      <c r="BD2" s="2" t="n">
        <v>0</v>
      </c>
      <c r="BE2" s="2" t="n">
        <v>0</v>
      </c>
      <c r="BF2" s="2" t="n">
        <v>2</v>
      </c>
      <c r="BG2" s="2" t="n">
        <v>0</v>
      </c>
      <c r="BH2" s="2" t="n">
        <v>0</v>
      </c>
      <c r="BI2" s="2" t="n">
        <v>0</v>
      </c>
      <c r="BJ2" s="2" t="n">
        <v>0</v>
      </c>
      <c r="BK2" s="2" t="n">
        <v>0</v>
      </c>
      <c r="BL2" s="2" t="n">
        <v>0</v>
      </c>
      <c r="BM2" s="2" t="n">
        <v>0</v>
      </c>
      <c r="BN2" s="2" t="n">
        <v>0</v>
      </c>
      <c r="BO2" s="2" t="n">
        <v>0</v>
      </c>
      <c r="BP2" s="2" t="n">
        <v>0</v>
      </c>
      <c r="BQ2" s="2" t="n">
        <v>0</v>
      </c>
      <c r="BR2" s="2" t="n">
        <v>0</v>
      </c>
      <c r="BS2" s="2" t="n">
        <v>0</v>
      </c>
      <c r="BT2" s="2" t="n">
        <v>0</v>
      </c>
      <c r="BU2" s="2" t="n">
        <v>0</v>
      </c>
      <c r="BV2" s="2" t="n">
        <v>0</v>
      </c>
      <c r="BW2" s="2" t="n">
        <v>0</v>
      </c>
      <c r="BX2" s="2" t="n">
        <v>0</v>
      </c>
      <c r="BY2" s="2" t="n">
        <v>0</v>
      </c>
    </row>
    <row r="3" customFormat="false" ht="15" hidden="false" customHeight="false" outlineLevel="0" collapsed="false">
      <c r="A3" s="2" t="s">
        <v>79</v>
      </c>
      <c r="B3" s="2" t="s">
        <v>78</v>
      </c>
      <c r="C3" s="2" t="n">
        <v>0</v>
      </c>
      <c r="D3" s="2" t="n">
        <v>0</v>
      </c>
      <c r="E3" s="2" t="n">
        <v>0</v>
      </c>
      <c r="F3" s="2" t="n">
        <v>0</v>
      </c>
      <c r="G3" s="2" t="n">
        <v>0</v>
      </c>
      <c r="H3" s="2" t="n">
        <v>0</v>
      </c>
      <c r="I3" s="2" t="n">
        <v>0</v>
      </c>
      <c r="J3" s="2" t="n">
        <v>8</v>
      </c>
      <c r="K3" s="2" t="n">
        <v>0</v>
      </c>
      <c r="L3" s="2" t="n">
        <v>0</v>
      </c>
      <c r="M3" s="2" t="n">
        <v>0</v>
      </c>
      <c r="N3" s="2" t="n">
        <v>0</v>
      </c>
      <c r="O3" s="2" t="n">
        <v>0</v>
      </c>
      <c r="P3" s="2" t="n">
        <v>1</v>
      </c>
      <c r="Q3" s="2" t="n">
        <v>0</v>
      </c>
      <c r="R3" s="2" t="n">
        <v>0</v>
      </c>
      <c r="S3" s="2" t="n">
        <v>0</v>
      </c>
      <c r="T3" s="2" t="n">
        <v>0</v>
      </c>
      <c r="U3" s="2" t="n">
        <v>0</v>
      </c>
      <c r="V3" s="2" t="n">
        <v>0</v>
      </c>
      <c r="W3" s="2" t="n">
        <v>0</v>
      </c>
      <c r="X3" s="2" t="n">
        <v>0</v>
      </c>
      <c r="Y3" s="2" t="n">
        <v>0</v>
      </c>
      <c r="Z3" s="2" t="n">
        <v>0</v>
      </c>
      <c r="AA3" s="2" t="n">
        <v>0</v>
      </c>
      <c r="AB3" s="2" t="n">
        <v>0</v>
      </c>
      <c r="AC3" s="2" t="n">
        <v>0</v>
      </c>
      <c r="AD3" s="2" t="n">
        <v>0</v>
      </c>
      <c r="AE3" s="2" t="n">
        <v>0</v>
      </c>
      <c r="AF3" s="2" t="n">
        <v>0</v>
      </c>
      <c r="AG3" s="2" t="n">
        <v>1</v>
      </c>
      <c r="AH3" s="2" t="n">
        <v>0</v>
      </c>
      <c r="AI3" s="2" t="n">
        <v>0</v>
      </c>
      <c r="AJ3" s="2" t="n">
        <v>0</v>
      </c>
      <c r="AK3" s="2" t="n">
        <v>1</v>
      </c>
      <c r="AL3" s="2" t="n">
        <v>0</v>
      </c>
      <c r="AM3" s="2" t="n">
        <v>0</v>
      </c>
      <c r="AN3" s="2" t="n">
        <v>0</v>
      </c>
      <c r="AO3" s="2" t="n">
        <v>0</v>
      </c>
      <c r="AP3" s="2" t="n">
        <v>0</v>
      </c>
      <c r="AQ3" s="2" t="n">
        <v>0</v>
      </c>
      <c r="AR3" s="2" t="n">
        <v>1</v>
      </c>
      <c r="AS3" s="2" t="n">
        <v>0</v>
      </c>
      <c r="AT3" s="2" t="n">
        <v>0</v>
      </c>
      <c r="AU3" s="2" t="n">
        <v>0</v>
      </c>
      <c r="AV3" s="2" t="n">
        <v>15</v>
      </c>
      <c r="AW3" s="2" t="n">
        <v>0</v>
      </c>
      <c r="AX3" s="2" t="n">
        <v>0</v>
      </c>
      <c r="AY3" s="2" t="n">
        <v>42</v>
      </c>
      <c r="AZ3" s="2" t="n">
        <v>0</v>
      </c>
      <c r="BA3" s="2" t="n">
        <v>0</v>
      </c>
      <c r="BB3" s="2" t="n">
        <v>0</v>
      </c>
      <c r="BC3" s="2" t="n">
        <v>0</v>
      </c>
      <c r="BD3" s="2" t="n">
        <v>0</v>
      </c>
      <c r="BE3" s="2" t="n">
        <v>0</v>
      </c>
      <c r="BF3" s="2" t="n">
        <v>25</v>
      </c>
      <c r="BG3" s="2" t="n">
        <v>4</v>
      </c>
      <c r="BH3" s="2" t="n">
        <v>0</v>
      </c>
      <c r="BI3" s="2" t="n">
        <v>0</v>
      </c>
      <c r="BJ3" s="2" t="n">
        <v>0</v>
      </c>
      <c r="BK3" s="2" t="n">
        <v>0</v>
      </c>
      <c r="BL3" s="2" t="n">
        <v>0</v>
      </c>
      <c r="BM3" s="2" t="n">
        <v>0</v>
      </c>
      <c r="BN3" s="2" t="n">
        <v>0</v>
      </c>
      <c r="BO3" s="2" t="n">
        <v>4</v>
      </c>
      <c r="BP3" s="2" t="n">
        <v>4</v>
      </c>
      <c r="BQ3" s="2" t="n">
        <v>0</v>
      </c>
      <c r="BR3" s="2" t="n">
        <v>0</v>
      </c>
      <c r="BS3" s="2" t="n">
        <v>0</v>
      </c>
      <c r="BT3" s="2" t="n">
        <v>0</v>
      </c>
      <c r="BU3" s="2" t="n">
        <v>0</v>
      </c>
      <c r="BV3" s="2" t="n">
        <v>0</v>
      </c>
      <c r="BW3" s="2" t="n">
        <v>4</v>
      </c>
      <c r="BX3" s="2" t="n">
        <v>0</v>
      </c>
      <c r="BY3" s="2" t="n">
        <v>2</v>
      </c>
    </row>
    <row r="4" customFormat="false" ht="15" hidden="false" customHeight="false" outlineLevel="0" collapsed="false">
      <c r="A4" s="2" t="s">
        <v>80</v>
      </c>
      <c r="B4" s="2" t="s">
        <v>78</v>
      </c>
      <c r="C4" s="2" t="n">
        <v>0</v>
      </c>
      <c r="D4" s="2" t="n">
        <v>0</v>
      </c>
      <c r="E4" s="2" t="n">
        <v>0</v>
      </c>
      <c r="F4" s="2" t="n">
        <v>0</v>
      </c>
      <c r="G4" s="2" t="n">
        <v>1</v>
      </c>
      <c r="H4" s="2" t="n">
        <v>1</v>
      </c>
      <c r="I4" s="2" t="n">
        <v>0</v>
      </c>
      <c r="J4" s="2" t="n">
        <v>14</v>
      </c>
      <c r="K4" s="2" t="n">
        <v>7</v>
      </c>
      <c r="L4" s="2" t="n">
        <v>0</v>
      </c>
      <c r="M4" s="2" t="n">
        <v>0</v>
      </c>
      <c r="N4" s="2" t="n">
        <v>0</v>
      </c>
      <c r="O4" s="2" t="n">
        <v>0</v>
      </c>
      <c r="P4" s="2" t="n">
        <v>2</v>
      </c>
      <c r="Q4" s="2" t="n">
        <v>0</v>
      </c>
      <c r="R4" s="2" t="n">
        <v>0</v>
      </c>
      <c r="S4" s="2" t="n">
        <v>0</v>
      </c>
      <c r="T4" s="2" t="n">
        <v>0</v>
      </c>
      <c r="U4" s="2" t="n">
        <v>0</v>
      </c>
      <c r="V4" s="2" t="n">
        <v>0</v>
      </c>
      <c r="W4" s="2" t="n">
        <v>0</v>
      </c>
      <c r="X4" s="2" t="n">
        <v>0</v>
      </c>
      <c r="Y4" s="2" t="n">
        <v>0</v>
      </c>
      <c r="Z4" s="2" t="n">
        <v>10</v>
      </c>
      <c r="AA4" s="2" t="n">
        <v>0</v>
      </c>
      <c r="AB4" s="2" t="n">
        <v>0</v>
      </c>
      <c r="AC4" s="2" t="n">
        <v>0</v>
      </c>
      <c r="AD4" s="2" t="n">
        <v>0</v>
      </c>
      <c r="AE4" s="2" t="n">
        <v>0</v>
      </c>
      <c r="AF4" s="2" t="n">
        <v>4</v>
      </c>
      <c r="AG4" s="2" t="n">
        <v>0</v>
      </c>
      <c r="AH4" s="2" t="n">
        <v>1</v>
      </c>
      <c r="AI4" s="2" t="n">
        <v>1</v>
      </c>
      <c r="AJ4" s="2" t="n">
        <v>1</v>
      </c>
      <c r="AK4" s="2" t="n">
        <v>0</v>
      </c>
      <c r="AL4" s="2" t="n">
        <v>0</v>
      </c>
      <c r="AM4" s="2" t="n">
        <v>2</v>
      </c>
      <c r="AN4" s="2" t="n">
        <v>1</v>
      </c>
      <c r="AO4" s="2" t="n">
        <v>0</v>
      </c>
      <c r="AP4" s="2" t="n">
        <v>0</v>
      </c>
      <c r="AQ4" s="2" t="n">
        <v>0</v>
      </c>
      <c r="AR4" s="2" t="n">
        <v>0</v>
      </c>
      <c r="AS4" s="2" t="n">
        <v>0</v>
      </c>
      <c r="AT4" s="2" t="n">
        <v>0</v>
      </c>
      <c r="AU4" s="2" t="n">
        <v>1</v>
      </c>
      <c r="AV4" s="2" t="n">
        <v>0</v>
      </c>
      <c r="AW4" s="2" t="n">
        <v>0</v>
      </c>
      <c r="AX4" s="2" t="n">
        <v>0</v>
      </c>
      <c r="AY4" s="2" t="n">
        <v>0</v>
      </c>
      <c r="AZ4" s="2" t="n">
        <v>0</v>
      </c>
      <c r="BA4" s="2" t="n">
        <v>0</v>
      </c>
      <c r="BB4" s="2" t="n">
        <v>2</v>
      </c>
      <c r="BC4" s="2" t="n">
        <v>9</v>
      </c>
      <c r="BD4" s="2" t="n">
        <v>1</v>
      </c>
      <c r="BE4" s="2" t="n">
        <v>0</v>
      </c>
      <c r="BF4" s="2" t="n">
        <v>0</v>
      </c>
      <c r="BG4" s="2" t="n">
        <v>1</v>
      </c>
      <c r="BH4" s="2" t="n">
        <v>0</v>
      </c>
      <c r="BI4" s="2" t="n">
        <v>4</v>
      </c>
      <c r="BJ4" s="2" t="n">
        <v>0</v>
      </c>
      <c r="BK4" s="2" t="n">
        <v>0</v>
      </c>
      <c r="BL4" s="2" t="n">
        <v>0</v>
      </c>
      <c r="BM4" s="2" t="n">
        <v>1</v>
      </c>
      <c r="BN4" s="2" t="n">
        <v>1</v>
      </c>
      <c r="BO4" s="2" t="n">
        <v>0</v>
      </c>
      <c r="BP4" s="2" t="n">
        <v>0</v>
      </c>
      <c r="BQ4" s="2" t="n">
        <v>0</v>
      </c>
      <c r="BR4" s="2" t="n">
        <v>0</v>
      </c>
      <c r="BS4" s="2" t="n">
        <v>1</v>
      </c>
      <c r="BT4" s="2" t="n">
        <v>1</v>
      </c>
      <c r="BU4" s="2" t="n">
        <v>0</v>
      </c>
      <c r="BV4" s="2" t="n">
        <v>0</v>
      </c>
      <c r="BW4" s="2" t="n">
        <v>0</v>
      </c>
      <c r="BX4" s="2" t="n">
        <v>0</v>
      </c>
      <c r="BY4" s="2" t="n">
        <v>0</v>
      </c>
    </row>
    <row r="5" customFormat="false" ht="15" hidden="false" customHeight="false" outlineLevel="0" collapsed="false">
      <c r="A5" s="2" t="s">
        <v>81</v>
      </c>
      <c r="B5" s="2" t="s">
        <v>78</v>
      </c>
      <c r="C5" s="2" t="n">
        <v>0</v>
      </c>
      <c r="D5" s="2" t="n">
        <v>0</v>
      </c>
      <c r="E5" s="2" t="n">
        <v>0</v>
      </c>
      <c r="F5" s="2" t="n">
        <v>0</v>
      </c>
      <c r="G5" s="2" t="n">
        <v>0</v>
      </c>
      <c r="H5" s="2" t="n">
        <v>0</v>
      </c>
      <c r="I5" s="2" t="n">
        <v>0</v>
      </c>
      <c r="J5" s="2" t="n">
        <v>0</v>
      </c>
      <c r="K5" s="2" t="n">
        <v>0</v>
      </c>
      <c r="L5" s="2" t="n">
        <v>0</v>
      </c>
      <c r="M5" s="2" t="n">
        <v>0</v>
      </c>
      <c r="N5" s="2" t="n">
        <v>1</v>
      </c>
      <c r="O5" s="2" t="n">
        <v>0</v>
      </c>
      <c r="P5" s="2" t="n">
        <v>7</v>
      </c>
      <c r="Q5" s="2" t="n">
        <v>0</v>
      </c>
      <c r="R5" s="2" t="n">
        <v>0</v>
      </c>
      <c r="S5" s="2" t="n">
        <v>0</v>
      </c>
      <c r="T5" s="2" t="n">
        <v>0</v>
      </c>
      <c r="U5" s="2" t="n">
        <v>0</v>
      </c>
      <c r="V5" s="2" t="n">
        <v>0</v>
      </c>
      <c r="W5" s="2" t="n">
        <v>0</v>
      </c>
      <c r="X5" s="2" t="n">
        <v>0</v>
      </c>
      <c r="Y5" s="2" t="n">
        <v>0</v>
      </c>
      <c r="Z5" s="2" t="n">
        <v>1</v>
      </c>
      <c r="AA5" s="2" t="n">
        <v>0</v>
      </c>
      <c r="AB5" s="2" t="n">
        <v>0</v>
      </c>
      <c r="AC5" s="2" t="n">
        <v>0</v>
      </c>
      <c r="AD5" s="2" t="n">
        <v>0</v>
      </c>
      <c r="AE5" s="2" t="n">
        <v>0</v>
      </c>
      <c r="AF5" s="2" t="n">
        <v>0</v>
      </c>
      <c r="AG5" s="2" t="n">
        <v>0</v>
      </c>
      <c r="AH5" s="2" t="n">
        <v>0</v>
      </c>
      <c r="AI5" s="2" t="n">
        <v>0</v>
      </c>
      <c r="AJ5" s="2" t="n">
        <v>0</v>
      </c>
      <c r="AK5" s="2" t="n">
        <v>0</v>
      </c>
      <c r="AL5" s="2" t="n">
        <v>0</v>
      </c>
      <c r="AM5" s="2" t="n">
        <v>0</v>
      </c>
      <c r="AN5" s="2" t="n">
        <v>0</v>
      </c>
      <c r="AO5" s="2" t="n">
        <v>0</v>
      </c>
      <c r="AP5" s="2" t="n">
        <v>1</v>
      </c>
      <c r="AQ5" s="2" t="n">
        <v>0</v>
      </c>
      <c r="AR5" s="2" t="n">
        <v>0</v>
      </c>
      <c r="AS5" s="2" t="n">
        <v>0</v>
      </c>
      <c r="AT5" s="2" t="n">
        <v>4</v>
      </c>
      <c r="AU5" s="2" t="n">
        <v>0</v>
      </c>
      <c r="AV5" s="2" t="n">
        <v>0</v>
      </c>
      <c r="AW5" s="2" t="n">
        <v>0</v>
      </c>
      <c r="AX5" s="2" t="n">
        <v>0</v>
      </c>
      <c r="AY5" s="2" t="n">
        <v>0</v>
      </c>
      <c r="AZ5" s="2" t="n">
        <v>0</v>
      </c>
      <c r="BA5" s="2" t="n">
        <v>0</v>
      </c>
      <c r="BB5" s="2" t="n">
        <v>0</v>
      </c>
      <c r="BC5" s="2" t="n">
        <v>0</v>
      </c>
      <c r="BD5" s="2" t="n">
        <v>0</v>
      </c>
      <c r="BE5" s="2" t="n">
        <v>0</v>
      </c>
      <c r="BF5" s="2" t="n">
        <v>0</v>
      </c>
      <c r="BG5" s="2" t="n">
        <v>0</v>
      </c>
      <c r="BH5" s="2" t="n">
        <v>0</v>
      </c>
      <c r="BI5" s="2" t="n">
        <v>0</v>
      </c>
      <c r="BJ5" s="2" t="n">
        <v>0</v>
      </c>
      <c r="BK5" s="2" t="n">
        <v>0</v>
      </c>
      <c r="BL5" s="2" t="n">
        <v>1</v>
      </c>
      <c r="BM5" s="2" t="n">
        <v>0</v>
      </c>
      <c r="BN5" s="2" t="n">
        <v>0</v>
      </c>
      <c r="BO5" s="2" t="n">
        <v>0</v>
      </c>
      <c r="BP5" s="2" t="n">
        <v>2</v>
      </c>
      <c r="BQ5" s="2" t="n">
        <v>0</v>
      </c>
      <c r="BR5" s="2" t="n">
        <v>0</v>
      </c>
      <c r="BS5" s="2" t="n">
        <v>0</v>
      </c>
      <c r="BT5" s="2" t="n">
        <v>0</v>
      </c>
      <c r="BU5" s="2" t="n">
        <v>2</v>
      </c>
      <c r="BV5" s="2" t="n">
        <v>0</v>
      </c>
      <c r="BW5" s="2" t="n">
        <v>0</v>
      </c>
      <c r="BX5" s="2" t="n">
        <v>2</v>
      </c>
      <c r="BY5" s="2" t="n">
        <v>0</v>
      </c>
    </row>
    <row r="6" customFormat="false" ht="15" hidden="false" customHeight="false" outlineLevel="0" collapsed="false">
      <c r="A6" s="2" t="s">
        <v>82</v>
      </c>
      <c r="B6" s="2" t="s">
        <v>78</v>
      </c>
      <c r="C6" s="2" t="n">
        <v>0</v>
      </c>
      <c r="D6" s="2" t="n">
        <v>0</v>
      </c>
      <c r="E6" s="2" t="n">
        <v>0</v>
      </c>
      <c r="F6" s="2" t="n">
        <v>2</v>
      </c>
      <c r="G6" s="2" t="n">
        <v>0</v>
      </c>
      <c r="H6" s="2" t="n">
        <v>0</v>
      </c>
      <c r="I6" s="2" t="n">
        <v>0</v>
      </c>
      <c r="J6" s="2" t="n">
        <v>1</v>
      </c>
      <c r="K6" s="2" t="n">
        <v>2</v>
      </c>
      <c r="L6" s="2" t="n">
        <v>0</v>
      </c>
      <c r="M6" s="2" t="n">
        <v>0</v>
      </c>
      <c r="N6" s="2" t="n">
        <v>0</v>
      </c>
      <c r="O6" s="2" t="n">
        <v>0</v>
      </c>
      <c r="P6" s="2" t="n">
        <v>0</v>
      </c>
      <c r="Q6" s="2" t="n">
        <v>0</v>
      </c>
      <c r="R6" s="2" t="n">
        <v>1</v>
      </c>
      <c r="S6" s="2" t="n">
        <v>0</v>
      </c>
      <c r="T6" s="2" t="n">
        <v>0</v>
      </c>
      <c r="U6" s="2" t="n">
        <v>0</v>
      </c>
      <c r="V6" s="2" t="n">
        <v>0</v>
      </c>
      <c r="W6" s="2" t="n">
        <v>0</v>
      </c>
      <c r="X6" s="2" t="n">
        <v>0</v>
      </c>
      <c r="Y6" s="2" t="n">
        <v>0</v>
      </c>
      <c r="Z6" s="2" t="n">
        <v>0</v>
      </c>
      <c r="AA6" s="2" t="n">
        <v>0</v>
      </c>
      <c r="AB6" s="2" t="n">
        <v>0</v>
      </c>
      <c r="AC6" s="2" t="n">
        <v>0</v>
      </c>
      <c r="AD6" s="2" t="n">
        <v>0</v>
      </c>
      <c r="AE6" s="2" t="n">
        <v>0</v>
      </c>
      <c r="AF6" s="2" t="n">
        <v>0</v>
      </c>
      <c r="AG6" s="2" t="n">
        <v>0</v>
      </c>
      <c r="AH6" s="2" t="n">
        <v>1</v>
      </c>
      <c r="AI6" s="2" t="n">
        <v>0</v>
      </c>
      <c r="AJ6" s="2" t="n">
        <v>0</v>
      </c>
      <c r="AK6" s="2" t="n">
        <v>0</v>
      </c>
      <c r="AL6" s="2" t="n">
        <v>0</v>
      </c>
      <c r="AM6" s="2" t="n">
        <v>1</v>
      </c>
      <c r="AN6" s="2" t="n">
        <v>0</v>
      </c>
      <c r="AO6" s="2" t="n">
        <v>0</v>
      </c>
      <c r="AP6" s="2" t="n">
        <v>0</v>
      </c>
      <c r="AQ6" s="2" t="n">
        <v>0</v>
      </c>
      <c r="AR6" s="2" t="n">
        <v>0</v>
      </c>
      <c r="AS6" s="2" t="n">
        <v>1</v>
      </c>
      <c r="AT6" s="2" t="n">
        <v>0</v>
      </c>
      <c r="AU6" s="2" t="n">
        <v>0</v>
      </c>
      <c r="AV6" s="2" t="n">
        <v>1</v>
      </c>
      <c r="AW6" s="2" t="n">
        <v>0</v>
      </c>
      <c r="AX6" s="2" t="n">
        <v>0</v>
      </c>
      <c r="AY6" s="2" t="n">
        <v>23</v>
      </c>
      <c r="AZ6" s="2" t="n">
        <v>0</v>
      </c>
      <c r="BA6" s="2" t="n">
        <v>0</v>
      </c>
      <c r="BB6" s="2" t="n">
        <v>0</v>
      </c>
      <c r="BC6" s="2" t="n">
        <v>3</v>
      </c>
      <c r="BD6" s="2" t="n">
        <v>0</v>
      </c>
      <c r="BE6" s="2" t="n">
        <v>0</v>
      </c>
      <c r="BF6" s="2" t="n">
        <v>5</v>
      </c>
      <c r="BG6" s="2" t="n">
        <v>24</v>
      </c>
      <c r="BH6" s="2" t="n">
        <v>0</v>
      </c>
      <c r="BI6" s="2" t="n">
        <v>0</v>
      </c>
      <c r="BJ6" s="2" t="n">
        <v>1</v>
      </c>
      <c r="BK6" s="2" t="n">
        <v>0</v>
      </c>
      <c r="BL6" s="2" t="n">
        <v>0</v>
      </c>
      <c r="BM6" s="2" t="n">
        <v>0</v>
      </c>
      <c r="BN6" s="2" t="n">
        <v>0</v>
      </c>
      <c r="BO6" s="2" t="n">
        <v>2</v>
      </c>
      <c r="BP6" s="2" t="n">
        <v>0</v>
      </c>
      <c r="BQ6" s="2" t="n">
        <v>0</v>
      </c>
      <c r="BR6" s="2" t="n">
        <v>0</v>
      </c>
      <c r="BS6" s="2" t="n">
        <v>0</v>
      </c>
      <c r="BT6" s="2" t="n">
        <v>7</v>
      </c>
      <c r="BU6" s="2" t="n">
        <v>0</v>
      </c>
      <c r="BV6" s="2" t="n">
        <v>0</v>
      </c>
      <c r="BW6" s="2" t="n">
        <v>0</v>
      </c>
      <c r="BX6" s="2" t="n">
        <v>0</v>
      </c>
      <c r="BY6" s="2" t="n">
        <v>0</v>
      </c>
    </row>
    <row r="7" customFormat="false" ht="15" hidden="false" customHeight="false" outlineLevel="0" collapsed="false">
      <c r="A7" s="2" t="s">
        <v>83</v>
      </c>
      <c r="B7" s="2" t="s">
        <v>78</v>
      </c>
      <c r="C7" s="2" t="n">
        <v>0</v>
      </c>
      <c r="D7" s="2" t="n">
        <v>0</v>
      </c>
      <c r="E7" s="2" t="n">
        <v>0</v>
      </c>
      <c r="F7" s="2" t="n">
        <v>0</v>
      </c>
      <c r="G7" s="2" t="n">
        <v>2</v>
      </c>
      <c r="H7" s="2" t="n">
        <v>0</v>
      </c>
      <c r="I7" s="2" t="n">
        <v>0</v>
      </c>
      <c r="J7" s="2" t="n">
        <v>0</v>
      </c>
      <c r="K7" s="2" t="n">
        <v>0</v>
      </c>
      <c r="L7" s="2" t="n">
        <v>0</v>
      </c>
      <c r="M7" s="2" t="n">
        <v>0</v>
      </c>
      <c r="N7" s="2" t="n">
        <v>0</v>
      </c>
      <c r="O7" s="2" t="n">
        <v>0</v>
      </c>
      <c r="P7" s="2" t="n">
        <v>0</v>
      </c>
      <c r="Q7" s="2" t="n">
        <v>0</v>
      </c>
      <c r="R7" s="2" t="n">
        <v>0</v>
      </c>
      <c r="S7" s="2" t="n">
        <v>0</v>
      </c>
      <c r="T7" s="2" t="n">
        <v>0</v>
      </c>
      <c r="U7" s="2" t="n">
        <v>7</v>
      </c>
      <c r="V7" s="2" t="n">
        <v>0</v>
      </c>
      <c r="W7" s="2" t="n">
        <v>0</v>
      </c>
      <c r="X7" s="2" t="n">
        <v>0</v>
      </c>
      <c r="Y7" s="2" t="n">
        <v>0</v>
      </c>
      <c r="Z7" s="2" t="n">
        <v>4</v>
      </c>
      <c r="AA7" s="2" t="n">
        <v>0</v>
      </c>
      <c r="AB7" s="2" t="n">
        <v>0</v>
      </c>
      <c r="AC7" s="2" t="n">
        <v>4</v>
      </c>
      <c r="AD7" s="2" t="n">
        <v>0</v>
      </c>
      <c r="AE7" s="2" t="n">
        <v>0</v>
      </c>
      <c r="AF7" s="2" t="n">
        <v>0</v>
      </c>
      <c r="AG7" s="2" t="n">
        <v>0</v>
      </c>
      <c r="AH7" s="2" t="n">
        <v>0</v>
      </c>
      <c r="AI7" s="2" t="n">
        <v>0</v>
      </c>
      <c r="AJ7" s="2" t="n">
        <v>0</v>
      </c>
      <c r="AK7" s="2" t="n">
        <v>0</v>
      </c>
      <c r="AL7" s="2" t="n">
        <v>3</v>
      </c>
      <c r="AM7" s="2" t="n">
        <v>0</v>
      </c>
      <c r="AN7" s="2" t="n">
        <v>0</v>
      </c>
      <c r="AO7" s="2" t="n">
        <v>0</v>
      </c>
      <c r="AP7" s="2" t="n">
        <v>0</v>
      </c>
      <c r="AQ7" s="2" t="n">
        <v>0</v>
      </c>
      <c r="AR7" s="2" t="n">
        <v>0</v>
      </c>
      <c r="AS7" s="2" t="n">
        <v>0</v>
      </c>
      <c r="AT7" s="2" t="n">
        <v>11</v>
      </c>
      <c r="AU7" s="2" t="n">
        <v>0</v>
      </c>
      <c r="AV7" s="2" t="n">
        <v>0</v>
      </c>
      <c r="AW7" s="2" t="n">
        <v>0</v>
      </c>
      <c r="AX7" s="2" t="n">
        <v>0</v>
      </c>
      <c r="AY7" s="2" t="n">
        <v>0</v>
      </c>
      <c r="AZ7" s="2" t="n">
        <v>0</v>
      </c>
      <c r="BA7" s="2" t="n">
        <v>0</v>
      </c>
      <c r="BB7" s="2" t="n">
        <v>0</v>
      </c>
      <c r="BC7" s="2" t="n">
        <v>0</v>
      </c>
      <c r="BD7" s="2" t="n">
        <v>0</v>
      </c>
      <c r="BE7" s="2" t="n">
        <v>0</v>
      </c>
      <c r="BF7" s="2" t="n">
        <v>5</v>
      </c>
      <c r="BG7" s="2" t="n">
        <v>0</v>
      </c>
      <c r="BH7" s="2" t="n">
        <v>0</v>
      </c>
      <c r="BI7" s="2" t="n">
        <v>0</v>
      </c>
      <c r="BJ7" s="2" t="n">
        <v>0</v>
      </c>
      <c r="BK7" s="2" t="n">
        <v>0</v>
      </c>
      <c r="BL7" s="2" t="n">
        <v>0</v>
      </c>
      <c r="BM7" s="2" t="n">
        <v>0</v>
      </c>
      <c r="BN7" s="2" t="n">
        <v>2</v>
      </c>
      <c r="BO7" s="2" t="n">
        <v>0</v>
      </c>
      <c r="BP7" s="2" t="n">
        <v>0</v>
      </c>
      <c r="BQ7" s="2" t="n">
        <v>0</v>
      </c>
      <c r="BR7" s="2" t="n">
        <v>3</v>
      </c>
      <c r="BS7" s="2" t="n">
        <v>0</v>
      </c>
      <c r="BT7" s="2" t="n">
        <v>2</v>
      </c>
      <c r="BU7" s="2" t="n">
        <v>0</v>
      </c>
      <c r="BV7" s="2" t="n">
        <v>0</v>
      </c>
      <c r="BW7" s="2" t="n">
        <v>0</v>
      </c>
      <c r="BX7" s="2" t="n">
        <v>0</v>
      </c>
      <c r="BY7" s="2" t="n">
        <v>7</v>
      </c>
    </row>
    <row r="8" customFormat="false" ht="15" hidden="false" customHeight="false" outlineLevel="0" collapsed="false">
      <c r="A8" s="2" t="s">
        <v>84</v>
      </c>
      <c r="B8" s="2" t="s">
        <v>78</v>
      </c>
      <c r="C8" s="2" t="n">
        <v>0</v>
      </c>
      <c r="D8" s="2" t="n">
        <v>0</v>
      </c>
      <c r="E8" s="2" t="n">
        <v>0</v>
      </c>
      <c r="F8" s="2" t="n">
        <v>0</v>
      </c>
      <c r="G8" s="2" t="n">
        <v>1</v>
      </c>
      <c r="H8" s="2" t="n">
        <v>0</v>
      </c>
      <c r="I8" s="2" t="n">
        <v>0</v>
      </c>
      <c r="J8" s="2" t="n">
        <v>3</v>
      </c>
      <c r="K8" s="2" t="n">
        <v>13</v>
      </c>
      <c r="L8" s="2" t="n">
        <v>0</v>
      </c>
      <c r="M8" s="2" t="n">
        <v>0</v>
      </c>
      <c r="N8" s="2" t="n">
        <v>0</v>
      </c>
      <c r="O8" s="2" t="n">
        <v>0</v>
      </c>
      <c r="P8" s="2" t="n">
        <v>0</v>
      </c>
      <c r="Q8" s="2" t="n">
        <v>1</v>
      </c>
      <c r="R8" s="2" t="n">
        <v>0</v>
      </c>
      <c r="S8" s="2" t="n">
        <v>0</v>
      </c>
      <c r="T8" s="2" t="n">
        <v>0</v>
      </c>
      <c r="U8" s="2" t="n">
        <v>0</v>
      </c>
      <c r="V8" s="2" t="n">
        <v>0</v>
      </c>
      <c r="W8" s="2" t="n">
        <v>0</v>
      </c>
      <c r="X8" s="2" t="n">
        <v>0</v>
      </c>
      <c r="Y8" s="2" t="n">
        <v>0</v>
      </c>
      <c r="Z8" s="2" t="n">
        <v>3</v>
      </c>
      <c r="AA8" s="2" t="n">
        <v>0</v>
      </c>
      <c r="AB8" s="2" t="n">
        <v>0</v>
      </c>
      <c r="AC8" s="2" t="n">
        <v>8</v>
      </c>
      <c r="AD8" s="2" t="n">
        <v>0</v>
      </c>
      <c r="AE8" s="2" t="n">
        <v>0</v>
      </c>
      <c r="AF8" s="2" t="n">
        <v>2</v>
      </c>
      <c r="AG8" s="2" t="n">
        <v>0</v>
      </c>
      <c r="AH8" s="2" t="n">
        <v>2</v>
      </c>
      <c r="AI8" s="2" t="n">
        <v>0</v>
      </c>
      <c r="AJ8" s="2" t="n">
        <v>0</v>
      </c>
      <c r="AK8" s="2" t="n">
        <v>0</v>
      </c>
      <c r="AL8" s="2" t="n">
        <v>0</v>
      </c>
      <c r="AM8" s="2" t="n">
        <v>0</v>
      </c>
      <c r="AN8" s="2" t="n">
        <v>0</v>
      </c>
      <c r="AO8" s="2" t="n">
        <v>0</v>
      </c>
      <c r="AP8" s="2" t="n">
        <v>1</v>
      </c>
      <c r="AQ8" s="2" t="n">
        <v>0</v>
      </c>
      <c r="AR8" s="2" t="n">
        <v>0</v>
      </c>
      <c r="AS8" s="2" t="n">
        <v>1</v>
      </c>
      <c r="AT8" s="2" t="n">
        <v>3</v>
      </c>
      <c r="AU8" s="2" t="n">
        <v>0</v>
      </c>
      <c r="AV8" s="2" t="n">
        <v>0</v>
      </c>
      <c r="AW8" s="2" t="n">
        <v>0</v>
      </c>
      <c r="AX8" s="2" t="n">
        <v>0</v>
      </c>
      <c r="AY8" s="2" t="n">
        <v>24</v>
      </c>
      <c r="AZ8" s="2" t="n">
        <v>0</v>
      </c>
      <c r="BA8" s="2" t="n">
        <v>0</v>
      </c>
      <c r="BB8" s="2" t="n">
        <v>0</v>
      </c>
      <c r="BC8" s="2" t="n">
        <v>0</v>
      </c>
      <c r="BD8" s="2" t="n">
        <v>0</v>
      </c>
      <c r="BE8" s="2" t="n">
        <v>0</v>
      </c>
      <c r="BF8" s="2" t="n">
        <v>15</v>
      </c>
      <c r="BG8" s="2" t="n">
        <v>0</v>
      </c>
      <c r="BH8" s="2" t="n">
        <v>0</v>
      </c>
      <c r="BI8" s="2" t="n">
        <v>0</v>
      </c>
      <c r="BJ8" s="2" t="n">
        <v>0</v>
      </c>
      <c r="BK8" s="2" t="n">
        <v>0</v>
      </c>
      <c r="BL8" s="2" t="n">
        <v>0</v>
      </c>
      <c r="BM8" s="2" t="n">
        <v>0</v>
      </c>
      <c r="BN8" s="2" t="n">
        <v>0</v>
      </c>
      <c r="BO8" s="2" t="n">
        <v>0</v>
      </c>
      <c r="BP8" s="2" t="n">
        <v>0</v>
      </c>
      <c r="BQ8" s="2" t="n">
        <v>0</v>
      </c>
      <c r="BR8" s="2" t="n">
        <v>0</v>
      </c>
      <c r="BS8" s="2" t="n">
        <v>0</v>
      </c>
      <c r="BT8" s="2" t="n">
        <v>6</v>
      </c>
      <c r="BU8" s="2" t="n">
        <v>0</v>
      </c>
      <c r="BV8" s="2" t="n">
        <v>0</v>
      </c>
      <c r="BW8" s="2" t="n">
        <v>0</v>
      </c>
      <c r="BX8" s="2" t="n">
        <v>0</v>
      </c>
      <c r="BY8" s="2" t="n">
        <v>13</v>
      </c>
    </row>
    <row r="9" customFormat="false" ht="15" hidden="false" customHeight="false" outlineLevel="0" collapsed="false">
      <c r="A9" s="2" t="s">
        <v>85</v>
      </c>
      <c r="B9" s="2" t="s">
        <v>78</v>
      </c>
      <c r="C9" s="2" t="n">
        <v>0</v>
      </c>
      <c r="D9" s="2" t="n">
        <v>0</v>
      </c>
      <c r="E9" s="2" t="n">
        <v>0</v>
      </c>
      <c r="F9" s="2" t="n">
        <v>0</v>
      </c>
      <c r="G9" s="2" t="n">
        <v>2</v>
      </c>
      <c r="H9" s="2" t="n">
        <v>0</v>
      </c>
      <c r="I9" s="2" t="n">
        <v>0</v>
      </c>
      <c r="J9" s="2" t="n">
        <v>0</v>
      </c>
      <c r="K9" s="2" t="n">
        <v>0</v>
      </c>
      <c r="L9" s="2" t="n">
        <v>0</v>
      </c>
      <c r="M9" s="2" t="n">
        <v>0</v>
      </c>
      <c r="N9" s="2" t="n">
        <v>0</v>
      </c>
      <c r="O9" s="2" t="n">
        <v>0</v>
      </c>
      <c r="P9" s="2" t="n">
        <v>10</v>
      </c>
      <c r="Q9" s="2" t="n">
        <v>0</v>
      </c>
      <c r="R9" s="2" t="n">
        <v>1</v>
      </c>
      <c r="S9" s="2" t="n">
        <v>0</v>
      </c>
      <c r="T9" s="2" t="n">
        <v>0</v>
      </c>
      <c r="U9" s="2" t="n">
        <v>0</v>
      </c>
      <c r="V9" s="2" t="n">
        <v>0</v>
      </c>
      <c r="W9" s="2" t="n">
        <v>2</v>
      </c>
      <c r="X9" s="2" t="n">
        <v>0</v>
      </c>
      <c r="Y9" s="2" t="n">
        <v>0</v>
      </c>
      <c r="Z9" s="2" t="n">
        <v>14</v>
      </c>
      <c r="AA9" s="2" t="n">
        <v>0</v>
      </c>
      <c r="AB9" s="2" t="n">
        <v>0</v>
      </c>
      <c r="AC9" s="2" t="n">
        <v>0</v>
      </c>
      <c r="AD9" s="2" t="n">
        <v>0</v>
      </c>
      <c r="AE9" s="2" t="n">
        <v>0</v>
      </c>
      <c r="AF9" s="2" t="n">
        <v>0</v>
      </c>
      <c r="AG9" s="2" t="n">
        <v>0</v>
      </c>
      <c r="AH9" s="2" t="n">
        <v>0</v>
      </c>
      <c r="AI9" s="2" t="n">
        <v>0</v>
      </c>
      <c r="AJ9" s="2" t="n">
        <v>0</v>
      </c>
      <c r="AK9" s="2" t="n">
        <v>0</v>
      </c>
      <c r="AL9" s="2" t="n">
        <v>0</v>
      </c>
      <c r="AM9" s="2" t="n">
        <v>0</v>
      </c>
      <c r="AN9" s="2" t="n">
        <v>0</v>
      </c>
      <c r="AO9" s="2" t="n">
        <v>0</v>
      </c>
      <c r="AP9" s="2" t="n">
        <v>0</v>
      </c>
      <c r="AQ9" s="2" t="n">
        <v>0</v>
      </c>
      <c r="AR9" s="2" t="n">
        <v>0</v>
      </c>
      <c r="AS9" s="2" t="n">
        <v>0</v>
      </c>
      <c r="AT9" s="2" t="n">
        <v>1</v>
      </c>
      <c r="AU9" s="2" t="n">
        <v>0</v>
      </c>
      <c r="AV9" s="2" t="n">
        <v>0</v>
      </c>
      <c r="AW9" s="2" t="n">
        <v>0</v>
      </c>
      <c r="AX9" s="2" t="n">
        <v>0</v>
      </c>
      <c r="AY9" s="2" t="n">
        <v>8</v>
      </c>
      <c r="AZ9" s="2" t="n">
        <v>0</v>
      </c>
      <c r="BA9" s="2" t="n">
        <v>0</v>
      </c>
      <c r="BB9" s="2" t="n">
        <v>0</v>
      </c>
      <c r="BC9" s="2" t="n">
        <v>7</v>
      </c>
      <c r="BD9" s="2" t="n">
        <v>0</v>
      </c>
      <c r="BE9" s="2" t="n">
        <v>0</v>
      </c>
      <c r="BF9" s="2" t="n">
        <v>0</v>
      </c>
      <c r="BG9" s="2" t="n">
        <v>0</v>
      </c>
      <c r="BH9" s="2" t="n">
        <v>0</v>
      </c>
      <c r="BI9" s="2" t="n">
        <v>0</v>
      </c>
      <c r="BJ9" s="2" t="n">
        <v>0</v>
      </c>
      <c r="BK9" s="2" t="n">
        <v>1</v>
      </c>
      <c r="BL9" s="2" t="n">
        <v>2</v>
      </c>
      <c r="BM9" s="2" t="n">
        <v>0</v>
      </c>
      <c r="BN9" s="2" t="n">
        <v>0</v>
      </c>
      <c r="BO9" s="2" t="n">
        <v>27</v>
      </c>
      <c r="BP9" s="2" t="n">
        <v>0</v>
      </c>
      <c r="BQ9" s="2" t="n">
        <v>0</v>
      </c>
      <c r="BR9" s="2" t="n">
        <v>0</v>
      </c>
      <c r="BS9" s="2" t="n">
        <v>0</v>
      </c>
      <c r="BT9" s="2" t="n">
        <v>1</v>
      </c>
      <c r="BU9" s="2" t="n">
        <v>0</v>
      </c>
      <c r="BV9" s="2" t="n">
        <v>0</v>
      </c>
      <c r="BW9" s="2" t="n">
        <v>0</v>
      </c>
      <c r="BX9" s="2" t="n">
        <v>0</v>
      </c>
      <c r="BY9" s="2" t="n">
        <v>0</v>
      </c>
    </row>
    <row r="10" customFormat="false" ht="15" hidden="false" customHeight="false" outlineLevel="0" collapsed="false">
      <c r="A10" s="2" t="s">
        <v>86</v>
      </c>
      <c r="B10" s="2" t="s">
        <v>78</v>
      </c>
      <c r="C10" s="2" t="n">
        <v>0</v>
      </c>
      <c r="D10" s="2" t="n">
        <v>0</v>
      </c>
      <c r="E10" s="2" t="n">
        <v>0</v>
      </c>
      <c r="F10" s="2" t="n">
        <v>0</v>
      </c>
      <c r="G10" s="2" t="n">
        <v>3</v>
      </c>
      <c r="H10" s="2" t="n">
        <v>0</v>
      </c>
      <c r="I10" s="2" t="n">
        <v>0</v>
      </c>
      <c r="J10" s="2" t="n">
        <v>3</v>
      </c>
      <c r="K10" s="2" t="n">
        <v>3</v>
      </c>
      <c r="L10" s="2" t="n">
        <v>0</v>
      </c>
      <c r="M10" s="2" t="n">
        <v>0</v>
      </c>
      <c r="N10" s="2" t="n">
        <v>0</v>
      </c>
      <c r="O10" s="2" t="n">
        <v>0</v>
      </c>
      <c r="P10" s="2" t="n">
        <v>0</v>
      </c>
      <c r="Q10" s="2" t="n">
        <v>0</v>
      </c>
      <c r="R10" s="2" t="n">
        <v>2</v>
      </c>
      <c r="S10" s="2" t="n">
        <v>1</v>
      </c>
      <c r="T10" s="2" t="n">
        <v>0</v>
      </c>
      <c r="U10" s="2" t="n">
        <v>0</v>
      </c>
      <c r="V10" s="2" t="n">
        <v>0</v>
      </c>
      <c r="W10" s="2" t="n">
        <v>0</v>
      </c>
      <c r="X10" s="2" t="n">
        <v>0</v>
      </c>
      <c r="Y10" s="2" t="n">
        <v>0</v>
      </c>
      <c r="Z10" s="2" t="n">
        <v>1</v>
      </c>
      <c r="AA10" s="2" t="n">
        <v>0</v>
      </c>
      <c r="AB10" s="2" t="n">
        <v>0</v>
      </c>
      <c r="AC10" s="2" t="n">
        <v>0</v>
      </c>
      <c r="AD10" s="2" t="n">
        <v>1</v>
      </c>
      <c r="AE10" s="2" t="n">
        <v>0</v>
      </c>
      <c r="AF10" s="2" t="n">
        <v>0</v>
      </c>
      <c r="AG10" s="2" t="n">
        <v>0</v>
      </c>
      <c r="AH10" s="2" t="n">
        <v>3</v>
      </c>
      <c r="AI10" s="2" t="n">
        <v>0</v>
      </c>
      <c r="AJ10" s="2" t="n">
        <v>0</v>
      </c>
      <c r="AK10" s="2" t="n">
        <v>0</v>
      </c>
      <c r="AL10" s="2" t="n">
        <v>0</v>
      </c>
      <c r="AM10" s="2" t="n">
        <v>1</v>
      </c>
      <c r="AN10" s="2" t="n">
        <v>0</v>
      </c>
      <c r="AO10" s="2" t="n">
        <v>0</v>
      </c>
      <c r="AP10" s="2" t="n">
        <v>0</v>
      </c>
      <c r="AQ10" s="2" t="n">
        <v>0</v>
      </c>
      <c r="AR10" s="2" t="n">
        <v>0</v>
      </c>
      <c r="AS10" s="2" t="n">
        <v>1</v>
      </c>
      <c r="AT10" s="2" t="n">
        <v>0</v>
      </c>
      <c r="AU10" s="2" t="n">
        <v>0</v>
      </c>
      <c r="AV10" s="2" t="n">
        <v>0</v>
      </c>
      <c r="AW10" s="2" t="n">
        <v>0</v>
      </c>
      <c r="AX10" s="2" t="n">
        <v>0</v>
      </c>
      <c r="AY10" s="2" t="n">
        <v>49</v>
      </c>
      <c r="AZ10" s="2" t="n">
        <v>0</v>
      </c>
      <c r="BA10" s="2" t="n">
        <v>0</v>
      </c>
      <c r="BB10" s="2" t="n">
        <v>2</v>
      </c>
      <c r="BC10" s="2" t="n">
        <v>13</v>
      </c>
      <c r="BD10" s="2" t="n">
        <v>0</v>
      </c>
      <c r="BE10" s="2" t="n">
        <v>0</v>
      </c>
      <c r="BF10" s="2" t="n">
        <v>34</v>
      </c>
      <c r="BG10" s="2" t="n">
        <v>0</v>
      </c>
      <c r="BH10" s="2" t="n">
        <v>0</v>
      </c>
      <c r="BI10" s="2" t="n">
        <v>0</v>
      </c>
      <c r="BJ10" s="2" t="n">
        <v>0</v>
      </c>
      <c r="BK10" s="2" t="n">
        <v>0</v>
      </c>
      <c r="BL10" s="2" t="n">
        <v>0</v>
      </c>
      <c r="BM10" s="2" t="n">
        <v>0</v>
      </c>
      <c r="BN10" s="2" t="n">
        <v>1</v>
      </c>
      <c r="BO10" s="2" t="n">
        <v>7</v>
      </c>
      <c r="BP10" s="2" t="n">
        <v>0</v>
      </c>
      <c r="BQ10" s="2" t="n">
        <v>0</v>
      </c>
      <c r="BR10" s="2" t="n">
        <v>0</v>
      </c>
      <c r="BS10" s="2" t="n">
        <v>0</v>
      </c>
      <c r="BT10" s="2" t="n">
        <v>1</v>
      </c>
      <c r="BU10" s="2" t="n">
        <v>0</v>
      </c>
      <c r="BV10" s="2" t="n">
        <v>1</v>
      </c>
      <c r="BW10" s="2" t="n">
        <v>0</v>
      </c>
      <c r="BX10" s="2" t="n">
        <v>0</v>
      </c>
      <c r="BY10" s="2" t="n">
        <v>7</v>
      </c>
    </row>
    <row r="11" customFormat="false" ht="15" hidden="false" customHeight="false" outlineLevel="0" collapsed="false">
      <c r="A11" s="2" t="s">
        <v>87</v>
      </c>
      <c r="B11" s="2" t="s">
        <v>78</v>
      </c>
      <c r="C11" s="2" t="n">
        <v>0</v>
      </c>
      <c r="D11" s="2" t="n">
        <v>0</v>
      </c>
      <c r="E11" s="2" t="n">
        <v>0</v>
      </c>
      <c r="F11" s="2" t="n">
        <v>0</v>
      </c>
      <c r="G11" s="2" t="n">
        <v>1</v>
      </c>
      <c r="H11" s="2" t="n">
        <v>0</v>
      </c>
      <c r="I11" s="2" t="n">
        <v>0</v>
      </c>
      <c r="J11" s="2" t="n">
        <v>0</v>
      </c>
      <c r="K11" s="2" t="n">
        <v>1</v>
      </c>
      <c r="L11" s="2" t="n">
        <v>0</v>
      </c>
      <c r="M11" s="2" t="n">
        <v>0</v>
      </c>
      <c r="N11" s="2" t="n">
        <v>0</v>
      </c>
      <c r="O11" s="2" t="n">
        <v>0</v>
      </c>
      <c r="P11" s="2" t="n">
        <v>0</v>
      </c>
      <c r="Q11" s="2" t="n">
        <v>0</v>
      </c>
      <c r="R11" s="2" t="n">
        <v>0</v>
      </c>
      <c r="S11" s="2" t="n">
        <v>0</v>
      </c>
      <c r="T11" s="2" t="n">
        <v>0</v>
      </c>
      <c r="U11" s="2" t="n">
        <v>0</v>
      </c>
      <c r="V11" s="2" t="n">
        <v>0</v>
      </c>
      <c r="W11" s="2" t="n">
        <v>0</v>
      </c>
      <c r="X11" s="2" t="n">
        <v>0</v>
      </c>
      <c r="Y11" s="2" t="n">
        <v>0</v>
      </c>
      <c r="Z11" s="2" t="n">
        <v>3</v>
      </c>
      <c r="AA11" s="2" t="n">
        <v>0</v>
      </c>
      <c r="AB11" s="2" t="n">
        <v>0</v>
      </c>
      <c r="AC11" s="2" t="n">
        <v>0</v>
      </c>
      <c r="AD11" s="2" t="n">
        <v>0</v>
      </c>
      <c r="AE11" s="2" t="n">
        <v>0</v>
      </c>
      <c r="AF11" s="2" t="n">
        <v>0</v>
      </c>
      <c r="AG11" s="2" t="n">
        <v>0</v>
      </c>
      <c r="AH11" s="2" t="n">
        <v>0</v>
      </c>
      <c r="AI11" s="2" t="n">
        <v>0</v>
      </c>
      <c r="AJ11" s="2" t="n">
        <v>0</v>
      </c>
      <c r="AK11" s="2" t="n">
        <v>0</v>
      </c>
      <c r="AL11" s="2" t="n">
        <v>0</v>
      </c>
      <c r="AM11" s="2" t="n">
        <v>0</v>
      </c>
      <c r="AN11" s="2" t="n">
        <v>0</v>
      </c>
      <c r="AO11" s="2" t="n">
        <v>0</v>
      </c>
      <c r="AP11" s="2" t="n">
        <v>0</v>
      </c>
      <c r="AQ11" s="2" t="n">
        <v>0</v>
      </c>
      <c r="AR11" s="2" t="n">
        <v>0</v>
      </c>
      <c r="AS11" s="2" t="n">
        <v>0</v>
      </c>
      <c r="AT11" s="2" t="n">
        <v>0</v>
      </c>
      <c r="AU11" s="2" t="n">
        <v>0</v>
      </c>
      <c r="AV11" s="2" t="n">
        <v>0</v>
      </c>
      <c r="AW11" s="2" t="n">
        <v>0</v>
      </c>
      <c r="AX11" s="2" t="n">
        <v>0</v>
      </c>
      <c r="AY11" s="2" t="n">
        <v>64</v>
      </c>
      <c r="AZ11" s="2" t="n">
        <v>0</v>
      </c>
      <c r="BA11" s="2" t="n">
        <v>0</v>
      </c>
      <c r="BB11" s="2" t="n">
        <v>0</v>
      </c>
      <c r="BC11" s="2" t="n">
        <v>0</v>
      </c>
      <c r="BD11" s="2" t="n">
        <v>0</v>
      </c>
      <c r="BE11" s="2" t="n">
        <v>0</v>
      </c>
      <c r="BF11" s="2" t="n">
        <v>31</v>
      </c>
      <c r="BG11" s="2" t="n">
        <v>0</v>
      </c>
      <c r="BH11" s="2" t="n">
        <v>0</v>
      </c>
      <c r="BI11" s="2" t="n">
        <v>0</v>
      </c>
      <c r="BJ11" s="2" t="n">
        <v>0</v>
      </c>
      <c r="BK11" s="2" t="n">
        <v>1</v>
      </c>
      <c r="BL11" s="2" t="n">
        <v>0</v>
      </c>
      <c r="BM11" s="2" t="n">
        <v>0</v>
      </c>
      <c r="BN11" s="2" t="n">
        <v>0</v>
      </c>
      <c r="BO11" s="2" t="n">
        <v>0</v>
      </c>
      <c r="BP11" s="2" t="n">
        <v>0</v>
      </c>
      <c r="BQ11" s="2" t="n">
        <v>0</v>
      </c>
      <c r="BR11" s="2" t="n">
        <v>0</v>
      </c>
      <c r="BS11" s="2" t="n">
        <v>0</v>
      </c>
      <c r="BT11" s="2" t="n">
        <v>6</v>
      </c>
      <c r="BU11" s="2" t="n">
        <v>0</v>
      </c>
      <c r="BV11" s="2" t="n">
        <v>0</v>
      </c>
      <c r="BW11" s="2" t="n">
        <v>0</v>
      </c>
      <c r="BX11" s="2" t="n">
        <v>0</v>
      </c>
      <c r="BY11" s="2" t="n">
        <v>2</v>
      </c>
    </row>
    <row r="12" customFormat="false" ht="15" hidden="false" customHeight="false" outlineLevel="0" collapsed="false">
      <c r="A12" s="2" t="s">
        <v>88</v>
      </c>
      <c r="B12" s="2" t="s">
        <v>78</v>
      </c>
      <c r="C12" s="2" t="n">
        <v>0</v>
      </c>
      <c r="D12" s="2" t="n">
        <v>0</v>
      </c>
      <c r="E12" s="2" t="n">
        <v>1</v>
      </c>
      <c r="F12" s="2" t="n">
        <v>0</v>
      </c>
      <c r="G12" s="2" t="n">
        <v>1</v>
      </c>
      <c r="H12" s="2" t="n">
        <v>0</v>
      </c>
      <c r="I12" s="2" t="n">
        <v>0</v>
      </c>
      <c r="J12" s="2" t="n">
        <v>0</v>
      </c>
      <c r="K12" s="2" t="n">
        <v>1</v>
      </c>
      <c r="L12" s="2" t="n">
        <v>0</v>
      </c>
      <c r="M12" s="2" t="n">
        <v>0</v>
      </c>
      <c r="N12" s="2" t="n">
        <v>0</v>
      </c>
      <c r="O12" s="2" t="n">
        <v>0</v>
      </c>
      <c r="P12" s="2" t="n">
        <v>0</v>
      </c>
      <c r="Q12" s="2" t="n">
        <v>0</v>
      </c>
      <c r="R12" s="2" t="n">
        <v>0</v>
      </c>
      <c r="S12" s="2" t="n">
        <v>0</v>
      </c>
      <c r="T12" s="2" t="n">
        <v>1</v>
      </c>
      <c r="U12" s="2" t="n">
        <v>0</v>
      </c>
      <c r="V12" s="2" t="n">
        <v>0</v>
      </c>
      <c r="W12" s="2" t="n">
        <v>13</v>
      </c>
      <c r="X12" s="2" t="n">
        <v>0</v>
      </c>
      <c r="Y12" s="2" t="n">
        <v>0</v>
      </c>
      <c r="Z12" s="2" t="n">
        <v>26</v>
      </c>
      <c r="AA12" s="2" t="n">
        <v>3</v>
      </c>
      <c r="AB12" s="2" t="n">
        <v>0</v>
      </c>
      <c r="AC12" s="2" t="n">
        <v>0</v>
      </c>
      <c r="AD12" s="2" t="n">
        <v>0</v>
      </c>
      <c r="AE12" s="2" t="n">
        <v>0</v>
      </c>
      <c r="AF12" s="2" t="n">
        <v>0</v>
      </c>
      <c r="AG12" s="2" t="n">
        <v>0</v>
      </c>
      <c r="AH12" s="2" t="n">
        <v>1</v>
      </c>
      <c r="AI12" s="2" t="n">
        <v>0</v>
      </c>
      <c r="AJ12" s="2" t="n">
        <v>0</v>
      </c>
      <c r="AK12" s="2" t="n">
        <v>0</v>
      </c>
      <c r="AL12" s="2" t="n">
        <v>2</v>
      </c>
      <c r="AM12" s="2" t="n">
        <v>0</v>
      </c>
      <c r="AN12" s="2" t="n">
        <v>0</v>
      </c>
      <c r="AO12" s="2" t="n">
        <v>1</v>
      </c>
      <c r="AP12" s="2" t="n">
        <v>0</v>
      </c>
      <c r="AQ12" s="2" t="n">
        <v>0</v>
      </c>
      <c r="AR12" s="2" t="n">
        <v>0</v>
      </c>
      <c r="AS12" s="2" t="n">
        <v>1</v>
      </c>
      <c r="AT12" s="2" t="n">
        <v>0</v>
      </c>
      <c r="AU12" s="2" t="n">
        <v>0</v>
      </c>
      <c r="AV12" s="2" t="n">
        <v>0</v>
      </c>
      <c r="AW12" s="2" t="n">
        <v>0</v>
      </c>
      <c r="AX12" s="2" t="n">
        <v>0</v>
      </c>
      <c r="AY12" s="2" t="n">
        <v>48</v>
      </c>
      <c r="AZ12" s="2" t="n">
        <v>0</v>
      </c>
      <c r="BA12" s="2" t="n">
        <v>0</v>
      </c>
      <c r="BB12" s="2" t="n">
        <v>0</v>
      </c>
      <c r="BC12" s="2" t="n">
        <v>1</v>
      </c>
      <c r="BD12" s="2" t="n">
        <v>0</v>
      </c>
      <c r="BE12" s="2" t="n">
        <v>3</v>
      </c>
      <c r="BF12" s="2" t="n">
        <v>33</v>
      </c>
      <c r="BG12" s="2" t="n">
        <v>1</v>
      </c>
      <c r="BH12" s="2" t="n">
        <v>0</v>
      </c>
      <c r="BI12" s="2" t="n">
        <v>0</v>
      </c>
      <c r="BJ12" s="2" t="n">
        <v>0</v>
      </c>
      <c r="BK12" s="2" t="n">
        <v>19</v>
      </c>
      <c r="BL12" s="2" t="n">
        <v>0</v>
      </c>
      <c r="BM12" s="2" t="n">
        <v>0</v>
      </c>
      <c r="BN12" s="2" t="n">
        <v>0</v>
      </c>
      <c r="BO12" s="2" t="n">
        <v>0</v>
      </c>
      <c r="BP12" s="2" t="n">
        <v>0</v>
      </c>
      <c r="BQ12" s="2" t="n">
        <v>2</v>
      </c>
      <c r="BR12" s="2" t="n">
        <v>0</v>
      </c>
      <c r="BS12" s="2" t="n">
        <v>0</v>
      </c>
      <c r="BT12" s="2" t="n">
        <v>37</v>
      </c>
      <c r="BU12" s="2" t="n">
        <v>0</v>
      </c>
      <c r="BV12" s="2" t="n">
        <v>0</v>
      </c>
      <c r="BW12" s="2" t="n">
        <v>0</v>
      </c>
      <c r="BX12" s="2" t="n">
        <v>0</v>
      </c>
      <c r="BY12" s="2" t="n">
        <v>0</v>
      </c>
    </row>
    <row r="13" customFormat="false" ht="15" hidden="false" customHeight="false" outlineLevel="0" collapsed="false">
      <c r="A13" s="2" t="s">
        <v>89</v>
      </c>
      <c r="B13" s="2" t="s">
        <v>90</v>
      </c>
      <c r="C13" s="2" t="n">
        <v>1</v>
      </c>
      <c r="D13" s="2" t="n">
        <v>0</v>
      </c>
      <c r="E13" s="2" t="n">
        <v>0</v>
      </c>
      <c r="F13" s="2" t="n">
        <v>0</v>
      </c>
      <c r="G13" s="2" t="n">
        <v>0</v>
      </c>
      <c r="H13" s="2" t="n">
        <v>0</v>
      </c>
      <c r="I13" s="2" t="n">
        <v>0</v>
      </c>
      <c r="J13" s="2" t="n">
        <v>0</v>
      </c>
      <c r="K13" s="2" t="n">
        <v>0</v>
      </c>
      <c r="L13" s="2" t="n">
        <v>0</v>
      </c>
      <c r="M13" s="2" t="n">
        <v>0</v>
      </c>
      <c r="N13" s="2" t="n">
        <v>0</v>
      </c>
      <c r="O13" s="2" t="n">
        <v>0</v>
      </c>
      <c r="P13" s="2" t="n">
        <v>0</v>
      </c>
      <c r="Q13" s="2" t="n">
        <v>0</v>
      </c>
      <c r="R13" s="2" t="n">
        <v>0</v>
      </c>
      <c r="S13" s="2" t="n">
        <v>0</v>
      </c>
      <c r="T13" s="2" t="n">
        <v>0</v>
      </c>
      <c r="U13" s="2" t="n">
        <v>0</v>
      </c>
      <c r="V13" s="2" t="n">
        <v>0</v>
      </c>
      <c r="W13" s="2" t="n">
        <v>1</v>
      </c>
      <c r="X13" s="2" t="n">
        <v>0</v>
      </c>
      <c r="Y13" s="2" t="n">
        <v>0</v>
      </c>
      <c r="Z13" s="2" t="n">
        <v>1</v>
      </c>
      <c r="AA13" s="2" t="n">
        <v>0</v>
      </c>
      <c r="AB13" s="2" t="n">
        <v>0</v>
      </c>
      <c r="AC13" s="2" t="n">
        <v>0</v>
      </c>
      <c r="AD13" s="2" t="n">
        <v>0</v>
      </c>
      <c r="AE13" s="2" t="n">
        <v>0</v>
      </c>
      <c r="AF13" s="2" t="n">
        <v>0</v>
      </c>
      <c r="AG13" s="2" t="n">
        <v>0</v>
      </c>
      <c r="AH13" s="2" t="n">
        <v>0</v>
      </c>
      <c r="AI13" s="2" t="n">
        <v>0</v>
      </c>
      <c r="AJ13" s="2" t="n">
        <v>0</v>
      </c>
      <c r="AK13" s="2" t="n">
        <v>0</v>
      </c>
      <c r="AL13" s="2" t="n">
        <v>0</v>
      </c>
      <c r="AM13" s="2" t="n">
        <v>0</v>
      </c>
      <c r="AN13" s="2" t="n">
        <v>0</v>
      </c>
      <c r="AO13" s="2" t="n">
        <v>0</v>
      </c>
      <c r="AP13" s="2" t="n">
        <v>0</v>
      </c>
      <c r="AQ13" s="2" t="n">
        <v>0</v>
      </c>
      <c r="AR13" s="2" t="n">
        <v>0</v>
      </c>
      <c r="AS13" s="2" t="n">
        <v>0</v>
      </c>
      <c r="AT13" s="2" t="n">
        <v>1</v>
      </c>
      <c r="AU13" s="2" t="n">
        <v>0</v>
      </c>
      <c r="AV13" s="2" t="n">
        <v>0</v>
      </c>
      <c r="AW13" s="2" t="n">
        <v>0</v>
      </c>
      <c r="AX13" s="2" t="n">
        <v>0</v>
      </c>
      <c r="AY13" s="2" t="n">
        <v>0</v>
      </c>
      <c r="AZ13" s="2" t="n">
        <v>0</v>
      </c>
      <c r="BA13" s="2" t="n">
        <v>0</v>
      </c>
      <c r="BB13" s="2" t="n">
        <v>0</v>
      </c>
      <c r="BC13" s="2" t="n">
        <v>0</v>
      </c>
      <c r="BD13" s="2" t="n">
        <v>0</v>
      </c>
      <c r="BE13" s="2" t="n">
        <v>0</v>
      </c>
      <c r="BF13" s="2" t="n">
        <v>0</v>
      </c>
      <c r="BG13" s="2" t="n">
        <v>0</v>
      </c>
      <c r="BH13" s="2" t="n">
        <v>0</v>
      </c>
      <c r="BI13" s="2" t="n">
        <v>0</v>
      </c>
      <c r="BJ13" s="2" t="n">
        <v>0</v>
      </c>
      <c r="BK13" s="2" t="n">
        <v>0</v>
      </c>
      <c r="BL13" s="2" t="n">
        <v>0</v>
      </c>
      <c r="BM13" s="2" t="n">
        <v>0</v>
      </c>
      <c r="BN13" s="2" t="n">
        <v>0</v>
      </c>
      <c r="BO13" s="2" t="n">
        <v>0</v>
      </c>
      <c r="BP13" s="2" t="n">
        <v>3</v>
      </c>
      <c r="BQ13" s="2" t="n">
        <v>0</v>
      </c>
      <c r="BR13" s="2" t="n">
        <v>0</v>
      </c>
      <c r="BS13" s="2" t="n">
        <v>0</v>
      </c>
      <c r="BT13" s="2" t="n">
        <v>2</v>
      </c>
      <c r="BU13" s="2" t="n">
        <v>0</v>
      </c>
      <c r="BV13" s="2" t="n">
        <v>0</v>
      </c>
      <c r="BW13" s="2" t="n">
        <v>0</v>
      </c>
      <c r="BX13" s="2" t="n">
        <v>4</v>
      </c>
      <c r="BY13" s="2" t="n">
        <v>0</v>
      </c>
    </row>
    <row r="14" customFormat="false" ht="15" hidden="false" customHeight="false" outlineLevel="0" collapsed="false">
      <c r="A14" s="2" t="s">
        <v>91</v>
      </c>
      <c r="B14" s="2" t="s">
        <v>90</v>
      </c>
      <c r="C14" s="2" t="n">
        <v>0</v>
      </c>
      <c r="D14" s="2" t="n">
        <v>0</v>
      </c>
      <c r="E14" s="2" t="n">
        <v>0</v>
      </c>
      <c r="F14" s="2" t="n">
        <v>0</v>
      </c>
      <c r="G14" s="2" t="n">
        <v>0</v>
      </c>
      <c r="H14" s="2" t="n">
        <v>0</v>
      </c>
      <c r="I14" s="2" t="n">
        <v>0</v>
      </c>
      <c r="J14" s="2" t="n">
        <v>0</v>
      </c>
      <c r="K14" s="2" t="n">
        <v>0</v>
      </c>
      <c r="L14" s="2" t="n">
        <v>0</v>
      </c>
      <c r="M14" s="2" t="n">
        <v>0</v>
      </c>
      <c r="N14" s="2" t="n">
        <v>2</v>
      </c>
      <c r="O14" s="2" t="n">
        <v>0</v>
      </c>
      <c r="P14" s="2" t="n">
        <v>0</v>
      </c>
      <c r="Q14" s="2" t="n">
        <v>0</v>
      </c>
      <c r="R14" s="2" t="n">
        <v>0</v>
      </c>
      <c r="S14" s="2" t="n">
        <v>0</v>
      </c>
      <c r="T14" s="2" t="n">
        <v>0</v>
      </c>
      <c r="U14" s="2" t="n">
        <v>0</v>
      </c>
      <c r="V14" s="2" t="n">
        <v>0</v>
      </c>
      <c r="W14" s="2" t="n">
        <v>0</v>
      </c>
      <c r="X14" s="2" t="n">
        <v>0</v>
      </c>
      <c r="Y14" s="2" t="n">
        <v>0</v>
      </c>
      <c r="Z14" s="2" t="n">
        <v>0</v>
      </c>
      <c r="AA14" s="2" t="n">
        <v>0</v>
      </c>
      <c r="AB14" s="2" t="n">
        <v>0</v>
      </c>
      <c r="AC14" s="2" t="n">
        <v>0</v>
      </c>
      <c r="AD14" s="2" t="n">
        <v>0</v>
      </c>
      <c r="AE14" s="2" t="n">
        <v>0</v>
      </c>
      <c r="AF14" s="2" t="n">
        <v>0</v>
      </c>
      <c r="AG14" s="2" t="n">
        <v>0</v>
      </c>
      <c r="AH14" s="2" t="n">
        <v>0</v>
      </c>
      <c r="AI14" s="2" t="n">
        <v>0</v>
      </c>
      <c r="AJ14" s="2" t="n">
        <v>0</v>
      </c>
      <c r="AK14" s="2" t="n">
        <v>0</v>
      </c>
      <c r="AL14" s="2" t="n">
        <v>0</v>
      </c>
      <c r="AM14" s="2" t="n">
        <v>0</v>
      </c>
      <c r="AN14" s="2" t="n">
        <v>0</v>
      </c>
      <c r="AO14" s="2" t="n">
        <v>0</v>
      </c>
      <c r="AP14" s="2" t="n">
        <v>0</v>
      </c>
      <c r="AQ14" s="2" t="n">
        <v>0</v>
      </c>
      <c r="AR14" s="2" t="n">
        <v>0</v>
      </c>
      <c r="AS14" s="2" t="n">
        <v>0</v>
      </c>
      <c r="AT14" s="2" t="n">
        <v>0</v>
      </c>
      <c r="AU14" s="2" t="n">
        <v>0</v>
      </c>
      <c r="AV14" s="2" t="n">
        <v>0</v>
      </c>
      <c r="AW14" s="2" t="n">
        <v>0</v>
      </c>
      <c r="AX14" s="2" t="n">
        <v>0</v>
      </c>
      <c r="AY14" s="2" t="n">
        <v>11</v>
      </c>
      <c r="AZ14" s="2" t="n">
        <v>0</v>
      </c>
      <c r="BA14" s="2" t="n">
        <v>0</v>
      </c>
      <c r="BB14" s="2" t="n">
        <v>0</v>
      </c>
      <c r="BC14" s="2" t="n">
        <v>0</v>
      </c>
      <c r="BD14" s="2" t="n">
        <v>0</v>
      </c>
      <c r="BE14" s="2" t="n">
        <v>0</v>
      </c>
      <c r="BF14" s="2" t="n">
        <v>6</v>
      </c>
      <c r="BG14" s="2" t="n">
        <v>0</v>
      </c>
      <c r="BH14" s="2" t="n">
        <v>0</v>
      </c>
      <c r="BI14" s="2" t="n">
        <v>0</v>
      </c>
      <c r="BJ14" s="2" t="n">
        <v>0</v>
      </c>
      <c r="BK14" s="2" t="n">
        <v>0</v>
      </c>
      <c r="BL14" s="2" t="n">
        <v>0</v>
      </c>
      <c r="BM14" s="2" t="n">
        <v>0</v>
      </c>
      <c r="BN14" s="2" t="n">
        <v>0</v>
      </c>
      <c r="BO14" s="2" t="n">
        <v>2</v>
      </c>
      <c r="BP14" s="2" t="n">
        <v>0</v>
      </c>
      <c r="BQ14" s="2" t="n">
        <v>0</v>
      </c>
      <c r="BR14" s="2" t="n">
        <v>0</v>
      </c>
      <c r="BS14" s="2" t="n">
        <v>0</v>
      </c>
      <c r="BT14" s="2" t="n">
        <v>0</v>
      </c>
      <c r="BU14" s="2" t="n">
        <v>0</v>
      </c>
      <c r="BV14" s="2" t="n">
        <v>0</v>
      </c>
      <c r="BW14" s="2" t="n">
        <v>0</v>
      </c>
      <c r="BX14" s="2" t="n">
        <v>0</v>
      </c>
      <c r="BY14" s="2" t="n">
        <v>0</v>
      </c>
    </row>
    <row r="15" customFormat="false" ht="15" hidden="false" customHeight="false" outlineLevel="0" collapsed="false">
      <c r="A15" s="2" t="s">
        <v>92</v>
      </c>
      <c r="B15" s="2" t="s">
        <v>90</v>
      </c>
      <c r="C15" s="2" t="n">
        <v>0</v>
      </c>
      <c r="D15" s="2" t="n">
        <v>1</v>
      </c>
      <c r="E15" s="2" t="n">
        <v>3</v>
      </c>
      <c r="F15" s="2" t="n">
        <v>0</v>
      </c>
      <c r="G15" s="2" t="n">
        <v>0</v>
      </c>
      <c r="H15" s="2" t="n">
        <v>0</v>
      </c>
      <c r="I15" s="2" t="n">
        <v>0</v>
      </c>
      <c r="J15" s="2" t="n">
        <v>0</v>
      </c>
      <c r="K15" s="2" t="n">
        <v>0</v>
      </c>
      <c r="L15" s="2" t="n">
        <v>0</v>
      </c>
      <c r="M15" s="2" t="n">
        <v>1</v>
      </c>
      <c r="N15" s="2" t="n">
        <v>0</v>
      </c>
      <c r="O15" s="2" t="n">
        <v>0</v>
      </c>
      <c r="P15" s="2" t="n">
        <v>1</v>
      </c>
      <c r="Q15" s="2" t="n">
        <v>0</v>
      </c>
      <c r="R15" s="2" t="n">
        <v>0</v>
      </c>
      <c r="S15" s="2" t="n">
        <v>0</v>
      </c>
      <c r="T15" s="2" t="n">
        <v>0</v>
      </c>
      <c r="U15" s="2" t="n">
        <v>0</v>
      </c>
      <c r="V15" s="2" t="n">
        <v>0</v>
      </c>
      <c r="W15" s="2" t="n">
        <v>0</v>
      </c>
      <c r="X15" s="2" t="n">
        <v>0</v>
      </c>
      <c r="Y15" s="2" t="n">
        <v>1</v>
      </c>
      <c r="Z15" s="2" t="n">
        <v>9</v>
      </c>
      <c r="AA15" s="2" t="n">
        <v>0</v>
      </c>
      <c r="AB15" s="2" t="n">
        <v>0</v>
      </c>
      <c r="AC15" s="2" t="n">
        <v>0</v>
      </c>
      <c r="AD15" s="2" t="n">
        <v>1</v>
      </c>
      <c r="AE15" s="2" t="n">
        <v>0</v>
      </c>
      <c r="AF15" s="2" t="n">
        <v>0</v>
      </c>
      <c r="AG15" s="2" t="n">
        <v>0</v>
      </c>
      <c r="AH15" s="2" t="n">
        <v>0</v>
      </c>
      <c r="AI15" s="2" t="n">
        <v>0</v>
      </c>
      <c r="AJ15" s="2" t="n">
        <v>0</v>
      </c>
      <c r="AK15" s="2" t="n">
        <v>0</v>
      </c>
      <c r="AL15" s="2" t="n">
        <v>4</v>
      </c>
      <c r="AM15" s="2" t="n">
        <v>0</v>
      </c>
      <c r="AN15" s="2" t="n">
        <v>0</v>
      </c>
      <c r="AO15" s="2" t="n">
        <v>0</v>
      </c>
      <c r="AP15" s="2" t="n">
        <v>1</v>
      </c>
      <c r="AQ15" s="2" t="n">
        <v>0</v>
      </c>
      <c r="AR15" s="2" t="n">
        <v>0</v>
      </c>
      <c r="AS15" s="2" t="n">
        <v>0</v>
      </c>
      <c r="AT15" s="2" t="n">
        <v>0</v>
      </c>
      <c r="AU15" s="2" t="n">
        <v>0</v>
      </c>
      <c r="AV15" s="2" t="n">
        <v>0</v>
      </c>
      <c r="AW15" s="2" t="n">
        <v>1</v>
      </c>
      <c r="AX15" s="2" t="n">
        <v>0</v>
      </c>
      <c r="AY15" s="2" t="n">
        <v>0</v>
      </c>
      <c r="AZ15" s="2" t="n">
        <v>0</v>
      </c>
      <c r="BA15" s="2" t="n">
        <v>0</v>
      </c>
      <c r="BB15" s="2" t="n">
        <v>0</v>
      </c>
      <c r="BC15" s="2" t="n">
        <v>2</v>
      </c>
      <c r="BD15" s="2" t="n">
        <v>1</v>
      </c>
      <c r="BE15" s="2" t="n">
        <v>0</v>
      </c>
      <c r="BF15" s="2" t="n">
        <v>0</v>
      </c>
      <c r="BG15" s="2" t="n">
        <v>0</v>
      </c>
      <c r="BH15" s="2" t="n">
        <v>7</v>
      </c>
      <c r="BI15" s="2" t="n">
        <v>0</v>
      </c>
      <c r="BJ15" s="2" t="n">
        <v>0</v>
      </c>
      <c r="BK15" s="2" t="n">
        <v>0</v>
      </c>
      <c r="BL15" s="2" t="n">
        <v>0</v>
      </c>
      <c r="BM15" s="2" t="n">
        <v>0</v>
      </c>
      <c r="BN15" s="2" t="n">
        <v>0</v>
      </c>
      <c r="BO15" s="2" t="n">
        <v>4</v>
      </c>
      <c r="BP15" s="2" t="n">
        <v>9</v>
      </c>
      <c r="BQ15" s="2" t="n">
        <v>0</v>
      </c>
      <c r="BR15" s="2" t="n">
        <v>3</v>
      </c>
      <c r="BS15" s="2" t="n">
        <v>0</v>
      </c>
      <c r="BT15" s="2" t="n">
        <v>7</v>
      </c>
      <c r="BU15" s="2" t="n">
        <v>0</v>
      </c>
      <c r="BV15" s="2" t="n">
        <v>2</v>
      </c>
      <c r="BW15" s="2" t="n">
        <v>0</v>
      </c>
      <c r="BX15" s="2" t="n">
        <v>0</v>
      </c>
      <c r="BY15" s="2" t="n">
        <v>1</v>
      </c>
    </row>
    <row r="16" customFormat="false" ht="15" hidden="false" customHeight="false" outlineLevel="0" collapsed="false">
      <c r="A16" s="2" t="s">
        <v>93</v>
      </c>
      <c r="B16" s="2" t="s">
        <v>90</v>
      </c>
      <c r="C16" s="2" t="n">
        <v>0</v>
      </c>
      <c r="D16" s="2" t="n">
        <v>0</v>
      </c>
      <c r="E16" s="2" t="n">
        <v>0</v>
      </c>
      <c r="F16" s="2" t="n">
        <v>0</v>
      </c>
      <c r="G16" s="2" t="n">
        <v>0</v>
      </c>
      <c r="H16" s="2" t="n">
        <v>0</v>
      </c>
      <c r="I16" s="2" t="n">
        <v>0</v>
      </c>
      <c r="J16" s="2" t="n">
        <v>0</v>
      </c>
      <c r="K16" s="2" t="n">
        <v>0</v>
      </c>
      <c r="L16" s="2" t="n">
        <v>0</v>
      </c>
      <c r="M16" s="2" t="n">
        <v>0</v>
      </c>
      <c r="N16" s="2" t="n">
        <v>2</v>
      </c>
      <c r="O16" s="2" t="n">
        <v>0</v>
      </c>
      <c r="P16" s="2" t="n">
        <v>0</v>
      </c>
      <c r="Q16" s="2" t="n">
        <v>0</v>
      </c>
      <c r="R16" s="2" t="n">
        <v>0</v>
      </c>
      <c r="S16" s="2" t="n">
        <v>0</v>
      </c>
      <c r="T16" s="2" t="n">
        <v>0</v>
      </c>
      <c r="U16" s="2" t="n">
        <v>0</v>
      </c>
      <c r="V16" s="2" t="n">
        <v>0</v>
      </c>
      <c r="W16" s="2" t="n">
        <v>0</v>
      </c>
      <c r="X16" s="2" t="n">
        <v>0</v>
      </c>
      <c r="Y16" s="2" t="n">
        <v>0</v>
      </c>
      <c r="Z16" s="2" t="n">
        <v>0</v>
      </c>
      <c r="AA16" s="2" t="n">
        <v>0</v>
      </c>
      <c r="AB16" s="2" t="n">
        <v>0</v>
      </c>
      <c r="AC16" s="2" t="n">
        <v>0</v>
      </c>
      <c r="AD16" s="2" t="n">
        <v>0</v>
      </c>
      <c r="AE16" s="2" t="n">
        <v>0</v>
      </c>
      <c r="AF16" s="2" t="n">
        <v>0</v>
      </c>
      <c r="AG16" s="2" t="n">
        <v>0</v>
      </c>
      <c r="AH16" s="2" t="n">
        <v>0</v>
      </c>
      <c r="AI16" s="2" t="n">
        <v>0</v>
      </c>
      <c r="AJ16" s="2" t="n">
        <v>0</v>
      </c>
      <c r="AK16" s="2" t="n">
        <v>0</v>
      </c>
      <c r="AL16" s="2" t="n">
        <v>1</v>
      </c>
      <c r="AM16" s="2" t="n">
        <v>0</v>
      </c>
      <c r="AN16" s="2" t="n">
        <v>0</v>
      </c>
      <c r="AO16" s="2" t="n">
        <v>0</v>
      </c>
      <c r="AP16" s="2" t="n">
        <v>8</v>
      </c>
      <c r="AQ16" s="2" t="n">
        <v>0</v>
      </c>
      <c r="AR16" s="2" t="n">
        <v>0</v>
      </c>
      <c r="AS16" s="2" t="n">
        <v>0</v>
      </c>
      <c r="AT16" s="2" t="n">
        <v>1</v>
      </c>
      <c r="AU16" s="2" t="n">
        <v>0</v>
      </c>
      <c r="AV16" s="2" t="n">
        <v>0</v>
      </c>
      <c r="AW16" s="2" t="n">
        <v>0</v>
      </c>
      <c r="AX16" s="2" t="n">
        <v>0</v>
      </c>
      <c r="AY16" s="2" t="n">
        <v>0</v>
      </c>
      <c r="AZ16" s="2" t="n">
        <v>0</v>
      </c>
      <c r="BA16" s="2" t="n">
        <v>0</v>
      </c>
      <c r="BB16" s="2" t="n">
        <v>0</v>
      </c>
      <c r="BC16" s="2" t="n">
        <v>0</v>
      </c>
      <c r="BD16" s="2" t="n">
        <v>0</v>
      </c>
      <c r="BE16" s="2" t="n">
        <v>0</v>
      </c>
      <c r="BF16" s="2" t="n">
        <v>8</v>
      </c>
      <c r="BG16" s="2" t="n">
        <v>0</v>
      </c>
      <c r="BH16" s="2" t="n">
        <v>0</v>
      </c>
      <c r="BI16" s="2" t="n">
        <v>0</v>
      </c>
      <c r="BJ16" s="2" t="n">
        <v>0</v>
      </c>
      <c r="BK16" s="2" t="n">
        <v>0</v>
      </c>
      <c r="BL16" s="2" t="n">
        <v>0</v>
      </c>
      <c r="BM16" s="2" t="n">
        <v>0</v>
      </c>
      <c r="BN16" s="2" t="n">
        <v>0</v>
      </c>
      <c r="BO16" s="2" t="n">
        <v>1</v>
      </c>
      <c r="BP16" s="2" t="n">
        <v>0</v>
      </c>
      <c r="BQ16" s="2" t="n">
        <v>0</v>
      </c>
      <c r="BR16" s="2" t="n">
        <v>0</v>
      </c>
      <c r="BS16" s="2" t="n">
        <v>0</v>
      </c>
      <c r="BT16" s="2" t="n">
        <v>0</v>
      </c>
      <c r="BU16" s="2" t="n">
        <v>0</v>
      </c>
      <c r="BV16" s="2" t="n">
        <v>0</v>
      </c>
      <c r="BW16" s="2" t="n">
        <v>0</v>
      </c>
      <c r="BX16" s="2" t="n">
        <v>0</v>
      </c>
      <c r="BY16" s="2" t="n">
        <v>142</v>
      </c>
    </row>
    <row r="17" customFormat="false" ht="15" hidden="false" customHeight="false" outlineLevel="0" collapsed="false">
      <c r="A17" s="2" t="s">
        <v>94</v>
      </c>
      <c r="B17" s="2" t="s">
        <v>95</v>
      </c>
      <c r="C17" s="2" t="n">
        <v>0</v>
      </c>
      <c r="D17" s="2" t="n">
        <v>0</v>
      </c>
      <c r="E17" s="2" t="n">
        <v>0</v>
      </c>
      <c r="F17" s="2" t="n">
        <v>0</v>
      </c>
      <c r="G17" s="2" t="n">
        <v>0</v>
      </c>
      <c r="H17" s="2" t="n">
        <v>9</v>
      </c>
      <c r="I17" s="2" t="n">
        <v>1</v>
      </c>
      <c r="J17" s="2" t="n">
        <v>0</v>
      </c>
      <c r="K17" s="2" t="n">
        <v>1</v>
      </c>
      <c r="L17" s="2" t="n">
        <v>0</v>
      </c>
      <c r="M17" s="2" t="n">
        <v>0</v>
      </c>
      <c r="N17" s="2" t="n">
        <v>0</v>
      </c>
      <c r="O17" s="2" t="n">
        <v>0</v>
      </c>
      <c r="P17" s="2" t="n">
        <v>0</v>
      </c>
      <c r="Q17" s="2" t="n">
        <v>0</v>
      </c>
      <c r="R17" s="2" t="n">
        <v>0</v>
      </c>
      <c r="S17" s="2" t="n">
        <v>0</v>
      </c>
      <c r="T17" s="2" t="n">
        <v>1</v>
      </c>
      <c r="U17" s="2" t="n">
        <v>0</v>
      </c>
      <c r="V17" s="2" t="n">
        <v>1</v>
      </c>
      <c r="W17" s="2" t="n">
        <v>1</v>
      </c>
      <c r="X17" s="2" t="n">
        <v>0</v>
      </c>
      <c r="Y17" s="2" t="n">
        <v>0</v>
      </c>
      <c r="Z17" s="2" t="n">
        <v>0</v>
      </c>
      <c r="AA17" s="2" t="n">
        <v>0</v>
      </c>
      <c r="AB17" s="2" t="n">
        <v>0</v>
      </c>
      <c r="AC17" s="2" t="n">
        <v>0</v>
      </c>
      <c r="AD17" s="2" t="n">
        <v>0</v>
      </c>
      <c r="AE17" s="2" t="n">
        <v>0</v>
      </c>
      <c r="AF17" s="2" t="n">
        <v>0</v>
      </c>
      <c r="AG17" s="2" t="n">
        <v>0</v>
      </c>
      <c r="AH17" s="2" t="n">
        <v>1</v>
      </c>
      <c r="AI17" s="2" t="n">
        <v>0</v>
      </c>
      <c r="AJ17" s="2" t="n">
        <v>0</v>
      </c>
      <c r="AK17" s="2" t="n">
        <v>0</v>
      </c>
      <c r="AL17" s="2" t="n">
        <v>0</v>
      </c>
      <c r="AM17" s="2" t="n">
        <v>0</v>
      </c>
      <c r="AN17" s="2" t="n">
        <v>0</v>
      </c>
      <c r="AO17" s="2" t="n">
        <v>0</v>
      </c>
      <c r="AP17" s="2" t="n">
        <v>0</v>
      </c>
      <c r="AQ17" s="2" t="n">
        <v>0</v>
      </c>
      <c r="AR17" s="2" t="n">
        <v>0</v>
      </c>
      <c r="AS17" s="2" t="n">
        <v>0</v>
      </c>
      <c r="AT17" s="2" t="n">
        <v>1</v>
      </c>
      <c r="AU17" s="2" t="n">
        <v>0</v>
      </c>
      <c r="AV17" s="2" t="n">
        <v>0</v>
      </c>
      <c r="AW17" s="2" t="n">
        <v>0</v>
      </c>
      <c r="AX17" s="2" t="n">
        <v>1</v>
      </c>
      <c r="AY17" s="2" t="n">
        <v>20</v>
      </c>
      <c r="AZ17" s="2" t="n">
        <v>0</v>
      </c>
      <c r="BA17" s="2" t="n">
        <v>0</v>
      </c>
      <c r="BB17" s="2" t="n">
        <v>0</v>
      </c>
      <c r="BC17" s="2" t="n">
        <v>0</v>
      </c>
      <c r="BD17" s="2" t="n">
        <v>0</v>
      </c>
      <c r="BE17" s="2" t="n">
        <v>0</v>
      </c>
      <c r="BF17" s="2" t="n">
        <v>25</v>
      </c>
      <c r="BG17" s="2" t="n">
        <v>0</v>
      </c>
      <c r="BH17" s="2" t="n">
        <v>0</v>
      </c>
      <c r="BI17" s="2" t="n">
        <v>0</v>
      </c>
      <c r="BJ17" s="2" t="n">
        <v>0</v>
      </c>
      <c r="BK17" s="2" t="n">
        <v>0</v>
      </c>
      <c r="BL17" s="2" t="n">
        <v>0</v>
      </c>
      <c r="BM17" s="2" t="n">
        <v>0</v>
      </c>
      <c r="BN17" s="2" t="n">
        <v>0</v>
      </c>
      <c r="BO17" s="2" t="n">
        <v>0</v>
      </c>
      <c r="BP17" s="2" t="n">
        <v>0</v>
      </c>
      <c r="BQ17" s="2" t="n">
        <v>0</v>
      </c>
      <c r="BR17" s="2" t="n">
        <v>0</v>
      </c>
      <c r="BS17" s="2" t="n">
        <v>0</v>
      </c>
      <c r="BT17" s="2" t="n">
        <v>4</v>
      </c>
      <c r="BU17" s="2" t="n">
        <v>0</v>
      </c>
      <c r="BV17" s="2" t="n">
        <v>0</v>
      </c>
      <c r="BW17" s="2" t="n">
        <v>38</v>
      </c>
      <c r="BX17" s="2" t="n">
        <v>0</v>
      </c>
      <c r="BY17" s="2" t="n">
        <v>0</v>
      </c>
    </row>
    <row r="18" customFormat="false" ht="15" hidden="false" customHeight="false" outlineLevel="0" collapsed="false">
      <c r="A18" s="2" t="s">
        <v>96</v>
      </c>
      <c r="B18" s="2" t="s">
        <v>95</v>
      </c>
      <c r="C18" s="2" t="n">
        <v>2</v>
      </c>
      <c r="D18" s="2" t="n">
        <v>0</v>
      </c>
      <c r="E18" s="2" t="n">
        <v>0</v>
      </c>
      <c r="F18" s="2" t="n">
        <v>0</v>
      </c>
      <c r="G18" s="2" t="n">
        <v>0</v>
      </c>
      <c r="H18" s="2" t="n">
        <v>0</v>
      </c>
      <c r="I18" s="2" t="n">
        <v>0</v>
      </c>
      <c r="J18" s="2" t="n">
        <v>0</v>
      </c>
      <c r="K18" s="2" t="n">
        <v>0</v>
      </c>
      <c r="L18" s="2" t="n">
        <v>0</v>
      </c>
      <c r="M18" s="2" t="n">
        <v>0</v>
      </c>
      <c r="N18" s="2" t="n">
        <v>1</v>
      </c>
      <c r="O18" s="2" t="n">
        <v>1</v>
      </c>
      <c r="P18" s="2" t="n">
        <v>0</v>
      </c>
      <c r="Q18" s="2" t="n">
        <v>0</v>
      </c>
      <c r="R18" s="2" t="n">
        <v>0</v>
      </c>
      <c r="S18" s="2" t="n">
        <v>0</v>
      </c>
      <c r="T18" s="2" t="n">
        <v>0</v>
      </c>
      <c r="U18" s="2" t="n">
        <v>0</v>
      </c>
      <c r="V18" s="2" t="n">
        <v>0</v>
      </c>
      <c r="W18" s="2" t="n">
        <v>2</v>
      </c>
      <c r="X18" s="2" t="n">
        <v>0</v>
      </c>
      <c r="Y18" s="2" t="n">
        <v>0</v>
      </c>
      <c r="Z18" s="2" t="n">
        <v>5</v>
      </c>
      <c r="AA18" s="2" t="n">
        <v>0</v>
      </c>
      <c r="AB18" s="2" t="n">
        <v>0</v>
      </c>
      <c r="AC18" s="2" t="n">
        <v>0</v>
      </c>
      <c r="AD18" s="2" t="n">
        <v>0</v>
      </c>
      <c r="AE18" s="2" t="n">
        <v>0</v>
      </c>
      <c r="AF18" s="2" t="n">
        <v>0</v>
      </c>
      <c r="AG18" s="2" t="n">
        <v>0</v>
      </c>
      <c r="AH18" s="2" t="n">
        <v>4</v>
      </c>
      <c r="AI18" s="2" t="n">
        <v>0</v>
      </c>
      <c r="AJ18" s="2" t="n">
        <v>0</v>
      </c>
      <c r="AK18" s="2" t="n">
        <v>0</v>
      </c>
      <c r="AL18" s="2" t="n">
        <v>0</v>
      </c>
      <c r="AM18" s="2" t="n">
        <v>0</v>
      </c>
      <c r="AN18" s="2" t="n">
        <v>0</v>
      </c>
      <c r="AO18" s="2" t="n">
        <v>0</v>
      </c>
      <c r="AP18" s="2" t="n">
        <v>1</v>
      </c>
      <c r="AQ18" s="2" t="n">
        <v>0</v>
      </c>
      <c r="AR18" s="2" t="n">
        <v>0</v>
      </c>
      <c r="AS18" s="2" t="n">
        <v>0</v>
      </c>
      <c r="AT18" s="2" t="n">
        <v>0</v>
      </c>
      <c r="AU18" s="2" t="n">
        <v>0</v>
      </c>
      <c r="AV18" s="2" t="n">
        <v>0</v>
      </c>
      <c r="AW18" s="2" t="n">
        <v>0</v>
      </c>
      <c r="AX18" s="2" t="n">
        <v>0</v>
      </c>
      <c r="AY18" s="2" t="n">
        <v>84</v>
      </c>
      <c r="AZ18" s="2" t="n">
        <v>0</v>
      </c>
      <c r="BA18" s="2" t="n">
        <v>1</v>
      </c>
      <c r="BB18" s="2" t="n">
        <v>0</v>
      </c>
      <c r="BC18" s="2" t="n">
        <v>1</v>
      </c>
      <c r="BD18" s="2" t="n">
        <v>0</v>
      </c>
      <c r="BE18" s="2" t="n">
        <v>0</v>
      </c>
      <c r="BF18" s="2" t="n">
        <v>26</v>
      </c>
      <c r="BG18" s="2" t="n">
        <v>0</v>
      </c>
      <c r="BH18" s="2" t="n">
        <v>0</v>
      </c>
      <c r="BI18" s="2" t="n">
        <v>0</v>
      </c>
      <c r="BJ18" s="2" t="n">
        <v>0</v>
      </c>
      <c r="BK18" s="2" t="n">
        <v>0</v>
      </c>
      <c r="BL18" s="2" t="n">
        <v>0</v>
      </c>
      <c r="BM18" s="2" t="n">
        <v>0</v>
      </c>
      <c r="BN18" s="2" t="n">
        <v>0</v>
      </c>
      <c r="BO18" s="2" t="n">
        <v>0</v>
      </c>
      <c r="BP18" s="2" t="n">
        <v>0</v>
      </c>
      <c r="BQ18" s="2" t="n">
        <v>0</v>
      </c>
      <c r="BR18" s="2" t="n">
        <v>0</v>
      </c>
      <c r="BS18" s="2" t="n">
        <v>0</v>
      </c>
      <c r="BT18" s="2" t="n">
        <v>3</v>
      </c>
      <c r="BU18" s="2" t="n">
        <v>0</v>
      </c>
      <c r="BV18" s="2" t="n">
        <v>0</v>
      </c>
      <c r="BW18" s="2" t="n">
        <v>0</v>
      </c>
      <c r="BX18" s="2" t="n">
        <v>0</v>
      </c>
      <c r="BY18" s="2" t="n">
        <v>1</v>
      </c>
    </row>
    <row r="19" customFormat="false" ht="15" hidden="false" customHeight="false" outlineLevel="0" collapsed="false">
      <c r="A19" s="2" t="s">
        <v>97</v>
      </c>
      <c r="B19" s="2" t="s">
        <v>95</v>
      </c>
      <c r="C19" s="2" t="n">
        <v>1</v>
      </c>
      <c r="D19" s="2" t="n">
        <v>0</v>
      </c>
      <c r="E19" s="2" t="n">
        <v>0</v>
      </c>
      <c r="F19" s="2" t="n">
        <v>0</v>
      </c>
      <c r="G19" s="2" t="n">
        <v>0</v>
      </c>
      <c r="H19" s="2" t="n">
        <v>29</v>
      </c>
      <c r="I19" s="2" t="n">
        <v>0</v>
      </c>
      <c r="J19" s="2" t="n">
        <v>0</v>
      </c>
      <c r="K19" s="2" t="n">
        <v>1</v>
      </c>
      <c r="L19" s="2" t="n">
        <v>1</v>
      </c>
      <c r="M19" s="2" t="n">
        <v>0</v>
      </c>
      <c r="N19" s="2" t="n">
        <v>12</v>
      </c>
      <c r="O19" s="2" t="n">
        <v>0</v>
      </c>
      <c r="P19" s="2" t="n">
        <v>0</v>
      </c>
      <c r="Q19" s="2" t="n">
        <v>0</v>
      </c>
      <c r="R19" s="2" t="n">
        <v>0</v>
      </c>
      <c r="S19" s="2" t="n">
        <v>0</v>
      </c>
      <c r="T19" s="2" t="n">
        <v>0</v>
      </c>
      <c r="U19" s="2" t="n">
        <v>0</v>
      </c>
      <c r="V19" s="2" t="n">
        <v>0</v>
      </c>
      <c r="W19" s="2" t="n">
        <v>0</v>
      </c>
      <c r="X19" s="2" t="n">
        <v>21</v>
      </c>
      <c r="Y19" s="2" t="n">
        <v>0</v>
      </c>
      <c r="Z19" s="2" t="n">
        <v>8</v>
      </c>
      <c r="AA19" s="2" t="n">
        <v>1</v>
      </c>
      <c r="AB19" s="2" t="n">
        <v>0</v>
      </c>
      <c r="AC19" s="2" t="n">
        <v>7</v>
      </c>
      <c r="AD19" s="2" t="n">
        <v>0</v>
      </c>
      <c r="AE19" s="2" t="n">
        <v>1</v>
      </c>
      <c r="AF19" s="2" t="n">
        <v>0</v>
      </c>
      <c r="AG19" s="2" t="n">
        <v>0</v>
      </c>
      <c r="AH19" s="2" t="n">
        <v>0</v>
      </c>
      <c r="AI19" s="2" t="n">
        <v>0</v>
      </c>
      <c r="AJ19" s="2" t="n">
        <v>0</v>
      </c>
      <c r="AK19" s="2" t="n">
        <v>0</v>
      </c>
      <c r="AL19" s="2" t="n">
        <v>2</v>
      </c>
      <c r="AM19" s="2" t="n">
        <v>0</v>
      </c>
      <c r="AN19" s="2" t="n">
        <v>0</v>
      </c>
      <c r="AO19" s="2" t="n">
        <v>0</v>
      </c>
      <c r="AP19" s="2" t="n">
        <v>0</v>
      </c>
      <c r="AQ19" s="2" t="n">
        <v>0</v>
      </c>
      <c r="AR19" s="2" t="n">
        <v>0</v>
      </c>
      <c r="AS19" s="2" t="n">
        <v>0</v>
      </c>
      <c r="AT19" s="2" t="n">
        <v>1</v>
      </c>
      <c r="AU19" s="2" t="n">
        <v>0</v>
      </c>
      <c r="AV19" s="2" t="n">
        <v>0</v>
      </c>
      <c r="AW19" s="2" t="n">
        <v>0</v>
      </c>
      <c r="AX19" s="2" t="n">
        <v>0</v>
      </c>
      <c r="AY19" s="2" t="n">
        <v>2</v>
      </c>
      <c r="AZ19" s="2" t="n">
        <v>0</v>
      </c>
      <c r="BA19" s="2" t="n">
        <v>0</v>
      </c>
      <c r="BB19" s="2" t="n">
        <v>0</v>
      </c>
      <c r="BC19" s="2" t="n">
        <v>0</v>
      </c>
      <c r="BD19" s="2" t="n">
        <v>0</v>
      </c>
      <c r="BE19" s="2" t="n">
        <v>18</v>
      </c>
      <c r="BF19" s="2" t="n">
        <v>0</v>
      </c>
      <c r="BG19" s="2" t="n">
        <v>0</v>
      </c>
      <c r="BH19" s="2" t="n">
        <v>0</v>
      </c>
      <c r="BI19" s="2" t="n">
        <v>0</v>
      </c>
      <c r="BJ19" s="2" t="n">
        <v>0</v>
      </c>
      <c r="BK19" s="2" t="n">
        <v>0</v>
      </c>
      <c r="BL19" s="2" t="n">
        <v>0</v>
      </c>
      <c r="BM19" s="2" t="n">
        <v>0</v>
      </c>
      <c r="BN19" s="2" t="n">
        <v>5</v>
      </c>
      <c r="BO19" s="2" t="n">
        <v>0</v>
      </c>
      <c r="BP19" s="2" t="n">
        <v>0</v>
      </c>
      <c r="BQ19" s="2" t="n">
        <v>0</v>
      </c>
      <c r="BR19" s="2" t="n">
        <v>0</v>
      </c>
      <c r="BS19" s="2" t="n">
        <v>0</v>
      </c>
      <c r="BT19" s="2" t="n">
        <v>1</v>
      </c>
      <c r="BU19" s="2" t="n">
        <v>0</v>
      </c>
      <c r="BV19" s="2" t="n">
        <v>0</v>
      </c>
      <c r="BW19" s="2" t="n">
        <v>0</v>
      </c>
      <c r="BX19" s="2" t="n">
        <v>0</v>
      </c>
      <c r="BY19" s="2" t="n">
        <v>2</v>
      </c>
    </row>
    <row r="20" customFormat="false" ht="15" hidden="false" customHeight="false" outlineLevel="0" collapsed="false">
      <c r="A20" s="2" t="s">
        <v>98</v>
      </c>
      <c r="B20" s="2" t="s">
        <v>95</v>
      </c>
      <c r="C20" s="2" t="n">
        <v>0</v>
      </c>
      <c r="D20" s="2" t="n">
        <v>0</v>
      </c>
      <c r="E20" s="2" t="n">
        <v>0</v>
      </c>
      <c r="F20" s="2" t="n">
        <v>0</v>
      </c>
      <c r="G20" s="2" t="n">
        <v>0</v>
      </c>
      <c r="H20" s="2" t="n">
        <v>1</v>
      </c>
      <c r="I20" s="2" t="n">
        <v>0</v>
      </c>
      <c r="J20" s="2" t="n">
        <v>0</v>
      </c>
      <c r="K20" s="2" t="n">
        <v>2</v>
      </c>
      <c r="L20" s="2" t="n">
        <v>0</v>
      </c>
      <c r="M20" s="2" t="n">
        <v>0</v>
      </c>
      <c r="N20" s="2" t="n">
        <v>0</v>
      </c>
      <c r="O20" s="2" t="n">
        <v>0</v>
      </c>
      <c r="P20" s="2" t="n">
        <v>0</v>
      </c>
      <c r="Q20" s="2" t="n">
        <v>0</v>
      </c>
      <c r="R20" s="2" t="n">
        <v>0</v>
      </c>
      <c r="S20" s="2" t="n">
        <v>0</v>
      </c>
      <c r="T20" s="2" t="n">
        <v>0</v>
      </c>
      <c r="U20" s="2" t="n">
        <v>0</v>
      </c>
      <c r="V20" s="2" t="n">
        <v>0</v>
      </c>
      <c r="W20" s="2" t="n">
        <v>0</v>
      </c>
      <c r="X20" s="2" t="n">
        <v>0</v>
      </c>
      <c r="Y20" s="2" t="n">
        <v>0</v>
      </c>
      <c r="Z20" s="2" t="n">
        <v>0</v>
      </c>
      <c r="AA20" s="2" t="n">
        <v>0</v>
      </c>
      <c r="AB20" s="2" t="n">
        <v>0</v>
      </c>
      <c r="AC20" s="2" t="n">
        <v>0</v>
      </c>
      <c r="AD20" s="2" t="n">
        <v>0</v>
      </c>
      <c r="AE20" s="2" t="n">
        <v>0</v>
      </c>
      <c r="AF20" s="2" t="n">
        <v>0</v>
      </c>
      <c r="AG20" s="2" t="n">
        <v>0</v>
      </c>
      <c r="AH20" s="2" t="n">
        <v>0</v>
      </c>
      <c r="AI20" s="2" t="n">
        <v>0</v>
      </c>
      <c r="AJ20" s="2" t="n">
        <v>0</v>
      </c>
      <c r="AK20" s="2" t="n">
        <v>0</v>
      </c>
      <c r="AL20" s="2" t="n">
        <v>0</v>
      </c>
      <c r="AM20" s="2" t="n">
        <v>0</v>
      </c>
      <c r="AN20" s="2" t="n">
        <v>0</v>
      </c>
      <c r="AO20" s="2" t="n">
        <v>0</v>
      </c>
      <c r="AP20" s="2" t="n">
        <v>0</v>
      </c>
      <c r="AQ20" s="2" t="n">
        <v>0</v>
      </c>
      <c r="AR20" s="2" t="n">
        <v>0</v>
      </c>
      <c r="AS20" s="2" t="n">
        <v>0</v>
      </c>
      <c r="AT20" s="2" t="n">
        <v>0</v>
      </c>
      <c r="AU20" s="2" t="n">
        <v>0</v>
      </c>
      <c r="AV20" s="2" t="n">
        <v>0</v>
      </c>
      <c r="AW20" s="2" t="n">
        <v>0</v>
      </c>
      <c r="AX20" s="2" t="n">
        <v>0</v>
      </c>
      <c r="AY20" s="2" t="n">
        <v>0</v>
      </c>
      <c r="AZ20" s="2" t="n">
        <v>1</v>
      </c>
      <c r="BA20" s="2" t="n">
        <v>0</v>
      </c>
      <c r="BB20" s="2" t="n">
        <v>0</v>
      </c>
      <c r="BC20" s="2" t="n">
        <v>0</v>
      </c>
      <c r="BD20" s="2" t="n">
        <v>0</v>
      </c>
      <c r="BE20" s="2" t="n">
        <v>0</v>
      </c>
      <c r="BF20" s="2" t="n">
        <v>5</v>
      </c>
      <c r="BG20" s="2" t="n">
        <v>0</v>
      </c>
      <c r="BH20" s="2" t="n">
        <v>0</v>
      </c>
      <c r="BI20" s="2" t="n">
        <v>0</v>
      </c>
      <c r="BJ20" s="2" t="n">
        <v>0</v>
      </c>
      <c r="BK20" s="2" t="n">
        <v>0</v>
      </c>
      <c r="BL20" s="2" t="n">
        <v>0</v>
      </c>
      <c r="BM20" s="2" t="n">
        <v>0</v>
      </c>
      <c r="BN20" s="2" t="n">
        <v>0</v>
      </c>
      <c r="BO20" s="2" t="n">
        <v>0</v>
      </c>
      <c r="BP20" s="2" t="n">
        <v>0</v>
      </c>
      <c r="BQ20" s="2" t="n">
        <v>0</v>
      </c>
      <c r="BR20" s="2" t="n">
        <v>0</v>
      </c>
      <c r="BS20" s="2" t="n">
        <v>0</v>
      </c>
      <c r="BT20" s="2" t="n">
        <v>0</v>
      </c>
      <c r="BU20" s="2" t="n">
        <v>0</v>
      </c>
      <c r="BV20" s="2" t="n">
        <v>0</v>
      </c>
      <c r="BW20" s="2" t="n">
        <v>0</v>
      </c>
      <c r="BX20" s="2" t="n">
        <v>0</v>
      </c>
      <c r="BY20" s="2" t="n">
        <v>0</v>
      </c>
    </row>
    <row r="21" customFormat="false" ht="15" hidden="false" customHeight="false" outlineLevel="0" collapsed="false">
      <c r="A21" s="2" t="s">
        <v>99</v>
      </c>
      <c r="B21" s="2" t="s">
        <v>95</v>
      </c>
      <c r="C21" s="2" t="n">
        <v>0</v>
      </c>
      <c r="D21" s="2" t="n">
        <v>0</v>
      </c>
      <c r="E21" s="2" t="n">
        <v>1</v>
      </c>
      <c r="F21" s="2" t="n">
        <v>0</v>
      </c>
      <c r="G21" s="2" t="n">
        <v>0</v>
      </c>
      <c r="H21" s="2" t="n">
        <v>0</v>
      </c>
      <c r="I21" s="2" t="n">
        <v>0</v>
      </c>
      <c r="J21" s="2" t="n">
        <v>0</v>
      </c>
      <c r="K21" s="2" t="n">
        <v>0</v>
      </c>
      <c r="L21" s="2" t="n">
        <v>0</v>
      </c>
      <c r="M21" s="2" t="n">
        <v>0</v>
      </c>
      <c r="N21" s="2" t="n">
        <v>0</v>
      </c>
      <c r="O21" s="2" t="n">
        <v>0</v>
      </c>
      <c r="P21" s="2" t="n">
        <v>0</v>
      </c>
      <c r="Q21" s="2" t="n">
        <v>0</v>
      </c>
      <c r="R21" s="2" t="n">
        <v>0</v>
      </c>
      <c r="S21" s="2" t="n">
        <v>0</v>
      </c>
      <c r="T21" s="2" t="n">
        <v>0</v>
      </c>
      <c r="U21" s="2" t="n">
        <v>13</v>
      </c>
      <c r="V21" s="2" t="n">
        <v>0</v>
      </c>
      <c r="W21" s="2" t="n">
        <v>0</v>
      </c>
      <c r="X21" s="2" t="n">
        <v>0</v>
      </c>
      <c r="Y21" s="2" t="n">
        <v>0</v>
      </c>
      <c r="Z21" s="2" t="n">
        <v>0</v>
      </c>
      <c r="AA21" s="2" t="n">
        <v>0</v>
      </c>
      <c r="AB21" s="2" t="n">
        <v>0</v>
      </c>
      <c r="AC21" s="2" t="n">
        <v>0</v>
      </c>
      <c r="AD21" s="2" t="n">
        <v>0</v>
      </c>
      <c r="AE21" s="2" t="n">
        <v>0</v>
      </c>
      <c r="AF21" s="2" t="n">
        <v>0</v>
      </c>
      <c r="AG21" s="2" t="n">
        <v>0</v>
      </c>
      <c r="AH21" s="2" t="n">
        <v>0</v>
      </c>
      <c r="AI21" s="2" t="n">
        <v>0</v>
      </c>
      <c r="AJ21" s="2" t="n">
        <v>0</v>
      </c>
      <c r="AK21" s="2" t="n">
        <v>0</v>
      </c>
      <c r="AL21" s="2" t="n">
        <v>0</v>
      </c>
      <c r="AM21" s="2" t="n">
        <v>0</v>
      </c>
      <c r="AN21" s="2" t="n">
        <v>0</v>
      </c>
      <c r="AO21" s="2" t="n">
        <v>0</v>
      </c>
      <c r="AP21" s="2" t="n">
        <v>0</v>
      </c>
      <c r="AQ21" s="2" t="n">
        <v>0</v>
      </c>
      <c r="AR21" s="2" t="n">
        <v>0</v>
      </c>
      <c r="AS21" s="2" t="n">
        <v>0</v>
      </c>
      <c r="AT21" s="2" t="n">
        <v>0</v>
      </c>
      <c r="AU21" s="2" t="n">
        <v>0</v>
      </c>
      <c r="AV21" s="2" t="n">
        <v>0</v>
      </c>
      <c r="AW21" s="2" t="n">
        <v>0</v>
      </c>
      <c r="AX21" s="2" t="n">
        <v>0</v>
      </c>
      <c r="AY21" s="2" t="n">
        <v>0</v>
      </c>
      <c r="AZ21" s="2" t="n">
        <v>0</v>
      </c>
      <c r="BA21" s="2" t="n">
        <v>0</v>
      </c>
      <c r="BB21" s="2" t="n">
        <v>0</v>
      </c>
      <c r="BC21" s="2" t="n">
        <v>0</v>
      </c>
      <c r="BD21" s="2" t="n">
        <v>0</v>
      </c>
      <c r="BE21" s="2" t="n">
        <v>0</v>
      </c>
      <c r="BF21" s="2" t="n">
        <v>0</v>
      </c>
      <c r="BG21" s="2" t="n">
        <v>0</v>
      </c>
      <c r="BH21" s="2" t="n">
        <v>0</v>
      </c>
      <c r="BI21" s="2" t="n">
        <v>0</v>
      </c>
      <c r="BJ21" s="2" t="n">
        <v>0</v>
      </c>
      <c r="BK21" s="2" t="n">
        <v>0</v>
      </c>
      <c r="BL21" s="2" t="n">
        <v>0</v>
      </c>
      <c r="BM21" s="2" t="n">
        <v>0</v>
      </c>
      <c r="BN21" s="2" t="n">
        <v>0</v>
      </c>
      <c r="BO21" s="2" t="n">
        <v>0</v>
      </c>
      <c r="BP21" s="2" t="n">
        <v>0</v>
      </c>
      <c r="BQ21" s="2" t="n">
        <v>0</v>
      </c>
      <c r="BR21" s="2" t="n">
        <v>0</v>
      </c>
      <c r="BS21" s="2" t="n">
        <v>0</v>
      </c>
      <c r="BT21" s="2" t="n">
        <v>6</v>
      </c>
      <c r="BU21" s="2" t="n">
        <v>0</v>
      </c>
      <c r="BV21" s="2" t="n">
        <v>0</v>
      </c>
      <c r="BW21" s="2" t="n">
        <v>0</v>
      </c>
      <c r="BX21" s="2" t="n">
        <v>0</v>
      </c>
      <c r="BY21" s="2" t="n">
        <v>12</v>
      </c>
    </row>
    <row r="22" customFormat="false" ht="15" hidden="false" customHeight="false" outlineLevel="0" collapsed="false">
      <c r="A22" s="2" t="s">
        <v>100</v>
      </c>
      <c r="B22" s="2" t="s">
        <v>95</v>
      </c>
      <c r="C22" s="2" t="n">
        <v>0</v>
      </c>
      <c r="D22" s="2" t="n">
        <v>0</v>
      </c>
      <c r="E22" s="2" t="n">
        <v>1</v>
      </c>
      <c r="F22" s="2" t="n">
        <v>0</v>
      </c>
      <c r="G22" s="2" t="n">
        <v>0</v>
      </c>
      <c r="H22" s="2" t="n">
        <v>0</v>
      </c>
      <c r="I22" s="2" t="n">
        <v>0</v>
      </c>
      <c r="J22" s="2" t="n">
        <v>0</v>
      </c>
      <c r="K22" s="2" t="n">
        <v>0</v>
      </c>
      <c r="L22" s="2" t="n">
        <v>0</v>
      </c>
      <c r="M22" s="2" t="n">
        <v>0</v>
      </c>
      <c r="N22" s="2" t="n">
        <v>0</v>
      </c>
      <c r="O22" s="2" t="n">
        <v>0</v>
      </c>
      <c r="P22" s="2" t="n">
        <v>0</v>
      </c>
      <c r="Q22" s="2" t="n">
        <v>0</v>
      </c>
      <c r="R22" s="2" t="n">
        <v>0</v>
      </c>
      <c r="S22" s="2" t="n">
        <v>0</v>
      </c>
      <c r="T22" s="2" t="n">
        <v>0</v>
      </c>
      <c r="U22" s="2" t="n">
        <v>0</v>
      </c>
      <c r="V22" s="2" t="n">
        <v>0</v>
      </c>
      <c r="W22" s="2" t="n">
        <v>0</v>
      </c>
      <c r="X22" s="2" t="n">
        <v>0</v>
      </c>
      <c r="Y22" s="2" t="n">
        <v>0</v>
      </c>
      <c r="Z22" s="2" t="n">
        <v>3</v>
      </c>
      <c r="AA22" s="2" t="n">
        <v>0</v>
      </c>
      <c r="AB22" s="2" t="n">
        <v>1</v>
      </c>
      <c r="AC22" s="2" t="n">
        <v>1</v>
      </c>
      <c r="AD22" s="2" t="n">
        <v>0</v>
      </c>
      <c r="AE22" s="2" t="n">
        <v>0</v>
      </c>
      <c r="AF22" s="2" t="n">
        <v>0</v>
      </c>
      <c r="AG22" s="2" t="n">
        <v>0</v>
      </c>
      <c r="AH22" s="2" t="n">
        <v>0</v>
      </c>
      <c r="AI22" s="2" t="n">
        <v>0</v>
      </c>
      <c r="AJ22" s="2" t="n">
        <v>0</v>
      </c>
      <c r="AK22" s="2" t="n">
        <v>0</v>
      </c>
      <c r="AL22" s="2" t="n">
        <v>0</v>
      </c>
      <c r="AM22" s="2" t="n">
        <v>0</v>
      </c>
      <c r="AN22" s="2" t="n">
        <v>0</v>
      </c>
      <c r="AO22" s="2" t="n">
        <v>0</v>
      </c>
      <c r="AP22" s="2" t="n">
        <v>0</v>
      </c>
      <c r="AQ22" s="2" t="n">
        <v>0</v>
      </c>
      <c r="AR22" s="2" t="n">
        <v>0</v>
      </c>
      <c r="AS22" s="2" t="n">
        <v>0</v>
      </c>
      <c r="AT22" s="2" t="n">
        <v>1</v>
      </c>
      <c r="AU22" s="2" t="n">
        <v>0</v>
      </c>
      <c r="AV22" s="2" t="n">
        <v>0</v>
      </c>
      <c r="AW22" s="2" t="n">
        <v>0</v>
      </c>
      <c r="AX22" s="2" t="n">
        <v>0</v>
      </c>
      <c r="AY22" s="2" t="n">
        <v>1</v>
      </c>
      <c r="AZ22" s="2" t="n">
        <v>0</v>
      </c>
      <c r="BA22" s="2" t="n">
        <v>0</v>
      </c>
      <c r="BB22" s="2" t="n">
        <v>0</v>
      </c>
      <c r="BC22" s="2" t="n">
        <v>0</v>
      </c>
      <c r="BD22" s="2" t="n">
        <v>0</v>
      </c>
      <c r="BE22" s="2" t="n">
        <v>0</v>
      </c>
      <c r="BF22" s="2" t="n">
        <v>0</v>
      </c>
      <c r="BG22" s="2" t="n">
        <v>0</v>
      </c>
      <c r="BH22" s="2" t="n">
        <v>0</v>
      </c>
      <c r="BI22" s="2" t="n">
        <v>0</v>
      </c>
      <c r="BJ22" s="2" t="n">
        <v>0</v>
      </c>
      <c r="BK22" s="2" t="n">
        <v>0</v>
      </c>
      <c r="BL22" s="2" t="n">
        <v>0</v>
      </c>
      <c r="BM22" s="2" t="n">
        <v>0</v>
      </c>
      <c r="BN22" s="2" t="n">
        <v>0</v>
      </c>
      <c r="BO22" s="2" t="n">
        <v>0</v>
      </c>
      <c r="BP22" s="2" t="n">
        <v>0</v>
      </c>
      <c r="BQ22" s="2" t="n">
        <v>0</v>
      </c>
      <c r="BR22" s="2" t="n">
        <v>0</v>
      </c>
      <c r="BS22" s="2" t="n">
        <v>0</v>
      </c>
      <c r="BT22" s="2" t="n">
        <v>1</v>
      </c>
      <c r="BU22" s="2" t="n">
        <v>0</v>
      </c>
      <c r="BV22" s="2" t="n">
        <v>0</v>
      </c>
      <c r="BW22" s="2" t="n">
        <v>0</v>
      </c>
      <c r="BX22" s="2" t="n">
        <v>0</v>
      </c>
      <c r="BY22" s="2" t="n">
        <v>50</v>
      </c>
    </row>
    <row r="23" customFormat="false" ht="15" hidden="false" customHeight="false" outlineLevel="0" collapsed="false">
      <c r="A23" s="2" t="s">
        <v>101</v>
      </c>
      <c r="B23" s="2" t="s">
        <v>95</v>
      </c>
      <c r="C23" s="2" t="n">
        <v>2</v>
      </c>
      <c r="D23" s="2" t="n">
        <v>0</v>
      </c>
      <c r="E23" s="2" t="n">
        <v>1</v>
      </c>
      <c r="F23" s="2" t="n">
        <v>0</v>
      </c>
      <c r="G23" s="2" t="n">
        <v>0</v>
      </c>
      <c r="H23" s="2" t="n">
        <v>1</v>
      </c>
      <c r="I23" s="2" t="n">
        <v>0</v>
      </c>
      <c r="J23" s="2" t="n">
        <v>0</v>
      </c>
      <c r="K23" s="2" t="n">
        <v>0</v>
      </c>
      <c r="L23" s="2" t="n">
        <v>0</v>
      </c>
      <c r="M23" s="2" t="n">
        <v>0</v>
      </c>
      <c r="N23" s="2" t="n">
        <v>0</v>
      </c>
      <c r="O23" s="2" t="n">
        <v>0</v>
      </c>
      <c r="P23" s="2" t="n">
        <v>4</v>
      </c>
      <c r="Q23" s="2" t="n">
        <v>0</v>
      </c>
      <c r="R23" s="2" t="n">
        <v>0</v>
      </c>
      <c r="S23" s="2" t="n">
        <v>0</v>
      </c>
      <c r="T23" s="2" t="n">
        <v>0</v>
      </c>
      <c r="U23" s="2" t="n">
        <v>0</v>
      </c>
      <c r="V23" s="2" t="n">
        <v>0</v>
      </c>
      <c r="W23" s="2" t="n">
        <v>0</v>
      </c>
      <c r="X23" s="2" t="n">
        <v>0</v>
      </c>
      <c r="Y23" s="2" t="n">
        <v>0</v>
      </c>
      <c r="Z23" s="2" t="n">
        <v>2</v>
      </c>
      <c r="AA23" s="2" t="n">
        <v>0</v>
      </c>
      <c r="AB23" s="2" t="n">
        <v>0</v>
      </c>
      <c r="AC23" s="2" t="n">
        <v>0</v>
      </c>
      <c r="AD23" s="2" t="n">
        <v>0</v>
      </c>
      <c r="AE23" s="2" t="n">
        <v>0</v>
      </c>
      <c r="AF23" s="2" t="n">
        <v>0</v>
      </c>
      <c r="AG23" s="2" t="n">
        <v>0</v>
      </c>
      <c r="AH23" s="2" t="n">
        <v>0</v>
      </c>
      <c r="AI23" s="2" t="n">
        <v>0</v>
      </c>
      <c r="AJ23" s="2" t="n">
        <v>0</v>
      </c>
      <c r="AK23" s="2" t="n">
        <v>0</v>
      </c>
      <c r="AL23" s="2" t="n">
        <v>1</v>
      </c>
      <c r="AM23" s="2" t="n">
        <v>0</v>
      </c>
      <c r="AN23" s="2" t="n">
        <v>0</v>
      </c>
      <c r="AO23" s="2" t="n">
        <v>0</v>
      </c>
      <c r="AP23" s="2" t="n">
        <v>0</v>
      </c>
      <c r="AQ23" s="2" t="n">
        <v>0</v>
      </c>
      <c r="AR23" s="2" t="n">
        <v>0</v>
      </c>
      <c r="AS23" s="2" t="n">
        <v>0</v>
      </c>
      <c r="AT23" s="2" t="n">
        <v>0</v>
      </c>
      <c r="AU23" s="2" t="n">
        <v>0</v>
      </c>
      <c r="AV23" s="2" t="n">
        <v>0</v>
      </c>
      <c r="AW23" s="2" t="n">
        <v>0</v>
      </c>
      <c r="AX23" s="2" t="n">
        <v>0</v>
      </c>
      <c r="AY23" s="2" t="n">
        <v>3</v>
      </c>
      <c r="AZ23" s="2" t="n">
        <v>0</v>
      </c>
      <c r="BA23" s="2" t="n">
        <v>0</v>
      </c>
      <c r="BB23" s="2" t="n">
        <v>0</v>
      </c>
      <c r="BC23" s="2" t="n">
        <v>0</v>
      </c>
      <c r="BD23" s="2" t="n">
        <v>0</v>
      </c>
      <c r="BE23" s="2" t="n">
        <v>0</v>
      </c>
      <c r="BF23" s="2" t="n">
        <v>0</v>
      </c>
      <c r="BG23" s="2" t="n">
        <v>0</v>
      </c>
      <c r="BH23" s="2" t="n">
        <v>0</v>
      </c>
      <c r="BI23" s="2" t="n">
        <v>0</v>
      </c>
      <c r="BJ23" s="2" t="n">
        <v>0</v>
      </c>
      <c r="BK23" s="2" t="n">
        <v>0</v>
      </c>
      <c r="BL23" s="2" t="n">
        <v>0</v>
      </c>
      <c r="BM23" s="2" t="n">
        <v>0</v>
      </c>
      <c r="BN23" s="2" t="n">
        <v>0</v>
      </c>
      <c r="BO23" s="2" t="n">
        <v>0</v>
      </c>
      <c r="BP23" s="2" t="n">
        <v>0</v>
      </c>
      <c r="BQ23" s="2" t="n">
        <v>0</v>
      </c>
      <c r="BR23" s="2" t="n">
        <v>0</v>
      </c>
      <c r="BS23" s="2" t="n">
        <v>0</v>
      </c>
      <c r="BT23" s="2" t="n">
        <v>5</v>
      </c>
      <c r="BU23" s="2" t="n">
        <v>0</v>
      </c>
      <c r="BV23" s="2" t="n">
        <v>0</v>
      </c>
      <c r="BW23" s="2" t="n">
        <v>0</v>
      </c>
      <c r="BX23" s="2" t="n">
        <v>0</v>
      </c>
      <c r="BY23" s="2"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18"/>
    <col collapsed="false" customWidth="true" hidden="false" outlineLevel="0" max="4" min="4" style="0" width="28"/>
    <col collapsed="false" customWidth="true" hidden="false" outlineLevel="0" max="5" min="5" style="0" width="13"/>
    <col collapsed="false" customWidth="true" hidden="false" outlineLevel="0" max="6" min="6" style="0" width="14"/>
    <col collapsed="false" customWidth="true" hidden="false" outlineLevel="0" max="8" min="7" style="0" width="10"/>
    <col collapsed="false" customWidth="true" hidden="false" outlineLevel="0" max="9" min="9" style="0" width="11"/>
    <col collapsed="false" customWidth="true" hidden="false" outlineLevel="0" max="10" min="10" style="0" width="10"/>
    <col collapsed="false" customWidth="true" hidden="false" outlineLevel="0" max="11" min="11" style="0" width="12"/>
  </cols>
  <sheetData>
    <row r="1" customFormat="false" ht="31.5" hidden="false" customHeight="true" outlineLevel="0" collapsed="false">
      <c r="A1" s="1" t="s">
        <v>102</v>
      </c>
      <c r="B1" s="1" t="s">
        <v>103</v>
      </c>
      <c r="C1" s="1" t="s">
        <v>104</v>
      </c>
      <c r="D1" s="1" t="s">
        <v>105</v>
      </c>
      <c r="E1" s="1" t="s">
        <v>106</v>
      </c>
      <c r="F1" s="1" t="s">
        <v>107</v>
      </c>
      <c r="G1" s="1" t="s">
        <v>108</v>
      </c>
      <c r="H1" s="1" t="s">
        <v>109</v>
      </c>
      <c r="I1" s="1" t="s">
        <v>110</v>
      </c>
      <c r="J1" s="1" t="s">
        <v>111</v>
      </c>
      <c r="K1" s="1" t="s">
        <v>112</v>
      </c>
    </row>
    <row r="2" customFormat="false" ht="15" hidden="false" customHeight="false" outlineLevel="0" collapsed="false">
      <c r="A2" s="2" t="s">
        <v>113</v>
      </c>
      <c r="B2" s="2" t="s">
        <v>2</v>
      </c>
      <c r="C2" s="2" t="s">
        <v>114</v>
      </c>
      <c r="D2" s="2" t="s">
        <v>115</v>
      </c>
      <c r="E2" s="3" t="n">
        <v>2</v>
      </c>
      <c r="F2" s="3" t="n">
        <v>50</v>
      </c>
      <c r="G2" s="2" t="n">
        <v>0</v>
      </c>
      <c r="H2" s="2" t="n">
        <v>0</v>
      </c>
      <c r="I2" s="2" t="n">
        <v>1</v>
      </c>
      <c r="J2" s="2" t="n">
        <v>0</v>
      </c>
      <c r="K2" s="2" t="n">
        <v>0</v>
      </c>
    </row>
    <row r="3" customFormat="false" ht="15" hidden="false" customHeight="false" outlineLevel="0" collapsed="false">
      <c r="A3" s="2" t="s">
        <v>116</v>
      </c>
      <c r="B3" s="2" t="s">
        <v>3</v>
      </c>
      <c r="C3" s="2" t="s">
        <v>117</v>
      </c>
      <c r="D3" s="2" t="s">
        <v>118</v>
      </c>
      <c r="E3" s="3" t="n">
        <v>2</v>
      </c>
      <c r="F3" s="3" t="n">
        <v>38.1</v>
      </c>
      <c r="G3" s="2" t="n">
        <v>0</v>
      </c>
      <c r="H3" s="2" t="n">
        <v>1</v>
      </c>
      <c r="I3" s="2" t="n">
        <v>0</v>
      </c>
      <c r="J3" s="2" t="n">
        <v>0</v>
      </c>
      <c r="K3" s="2" t="n">
        <v>0</v>
      </c>
    </row>
    <row r="4" customFormat="false" ht="15" hidden="false" customHeight="false" outlineLevel="0" collapsed="false">
      <c r="A4" s="2" t="s">
        <v>119</v>
      </c>
      <c r="B4" s="2" t="s">
        <v>4</v>
      </c>
      <c r="C4" s="2" t="s">
        <v>120</v>
      </c>
      <c r="D4" s="2" t="s">
        <v>121</v>
      </c>
      <c r="E4" s="3" t="n">
        <v>3.52</v>
      </c>
      <c r="F4" s="3" t="n">
        <v>33.1</v>
      </c>
      <c r="G4" s="2" t="n">
        <v>0</v>
      </c>
      <c r="H4" s="2" t="n">
        <v>0</v>
      </c>
      <c r="I4" s="2" t="n">
        <v>1</v>
      </c>
      <c r="J4" s="2" t="n">
        <v>0</v>
      </c>
      <c r="K4" s="2" t="n">
        <v>0</v>
      </c>
    </row>
    <row r="5" customFormat="false" ht="15" hidden="false" customHeight="false" outlineLevel="0" collapsed="false">
      <c r="A5" s="2" t="s">
        <v>122</v>
      </c>
      <c r="B5" s="2" t="s">
        <v>5</v>
      </c>
      <c r="C5" s="2" t="s">
        <v>123</v>
      </c>
      <c r="D5" s="2" t="s">
        <v>124</v>
      </c>
      <c r="E5" s="3" t="n">
        <v>3.6</v>
      </c>
      <c r="F5" s="3" t="n">
        <v>6.3</v>
      </c>
      <c r="G5" s="2" t="n">
        <v>0</v>
      </c>
      <c r="H5" s="2" t="n">
        <v>0</v>
      </c>
      <c r="I5" s="2" t="n">
        <v>0</v>
      </c>
      <c r="J5" s="2" t="n">
        <v>1</v>
      </c>
      <c r="K5" s="2" t="n">
        <v>0</v>
      </c>
    </row>
    <row r="6" customFormat="false" ht="15" hidden="false" customHeight="false" outlineLevel="0" collapsed="false">
      <c r="A6" s="2" t="s">
        <v>125</v>
      </c>
      <c r="B6" s="2" t="s">
        <v>6</v>
      </c>
      <c r="C6" s="2" t="s">
        <v>123</v>
      </c>
      <c r="D6" s="2" t="s">
        <v>124</v>
      </c>
      <c r="E6" s="3" t="n">
        <v>4.2</v>
      </c>
      <c r="F6" s="3" t="n">
        <v>25</v>
      </c>
      <c r="G6" s="2" t="n">
        <v>0</v>
      </c>
      <c r="H6" s="2" t="n">
        <v>0</v>
      </c>
      <c r="I6" s="2" t="n">
        <v>0</v>
      </c>
      <c r="J6" s="2" t="n">
        <v>1</v>
      </c>
      <c r="K6" s="2" t="n">
        <v>0</v>
      </c>
    </row>
    <row r="7" customFormat="false" ht="15" hidden="false" customHeight="false" outlineLevel="0" collapsed="false">
      <c r="A7" s="2" t="s">
        <v>126</v>
      </c>
      <c r="B7" s="2" t="s">
        <v>7</v>
      </c>
      <c r="C7" s="2" t="s">
        <v>127</v>
      </c>
      <c r="D7" s="2" t="s">
        <v>128</v>
      </c>
      <c r="E7" s="3" t="n">
        <v>3.4</v>
      </c>
      <c r="F7" s="3" t="n">
        <v>6.5</v>
      </c>
      <c r="G7" s="2" t="n">
        <v>0</v>
      </c>
      <c r="H7" s="2" t="n">
        <v>0</v>
      </c>
      <c r="I7" s="2" t="n">
        <v>0</v>
      </c>
      <c r="J7" s="2" t="n">
        <v>0</v>
      </c>
      <c r="K7" s="2" t="n">
        <v>1</v>
      </c>
    </row>
    <row r="8" customFormat="false" ht="15" hidden="false" customHeight="false" outlineLevel="0" collapsed="false">
      <c r="A8" s="2" t="s">
        <v>129</v>
      </c>
      <c r="B8" s="2" t="s">
        <v>8</v>
      </c>
      <c r="C8" s="2" t="s">
        <v>127</v>
      </c>
      <c r="D8" s="2" t="s">
        <v>121</v>
      </c>
      <c r="E8" s="3" t="n">
        <v>3.4</v>
      </c>
      <c r="F8" s="3" t="n">
        <v>6.5</v>
      </c>
      <c r="G8" s="2" t="n">
        <v>0</v>
      </c>
      <c r="H8" s="2" t="n">
        <v>0</v>
      </c>
      <c r="I8" s="2" t="n">
        <v>1</v>
      </c>
      <c r="J8" s="2" t="n">
        <v>0</v>
      </c>
      <c r="K8" s="2" t="n">
        <v>0</v>
      </c>
    </row>
    <row r="9" customFormat="false" ht="15" hidden="false" customHeight="false" outlineLevel="0" collapsed="false">
      <c r="A9" s="2" t="s">
        <v>130</v>
      </c>
      <c r="B9" s="2" t="s">
        <v>9</v>
      </c>
      <c r="C9" s="2" t="s">
        <v>127</v>
      </c>
      <c r="D9" s="2" t="s">
        <v>121</v>
      </c>
      <c r="E9" s="3" t="n">
        <v>3.4</v>
      </c>
      <c r="F9" s="3" t="n">
        <v>11</v>
      </c>
      <c r="G9" s="2" t="n">
        <v>0</v>
      </c>
      <c r="H9" s="2" t="n">
        <v>0</v>
      </c>
      <c r="I9" s="2" t="n">
        <v>1</v>
      </c>
      <c r="J9" s="2" t="n">
        <v>0</v>
      </c>
      <c r="K9" s="2" t="n">
        <v>0</v>
      </c>
    </row>
    <row r="10" customFormat="false" ht="15" hidden="false" customHeight="false" outlineLevel="0" collapsed="false">
      <c r="A10" s="2" t="s">
        <v>131</v>
      </c>
      <c r="B10" s="2" t="s">
        <v>10</v>
      </c>
      <c r="C10" s="2" t="s">
        <v>127</v>
      </c>
      <c r="D10" s="2" t="s">
        <v>128</v>
      </c>
      <c r="E10" s="3" t="n">
        <v>3.4</v>
      </c>
      <c r="F10" s="3" t="n">
        <v>7</v>
      </c>
      <c r="G10" s="2" t="n">
        <v>0</v>
      </c>
      <c r="H10" s="2" t="n">
        <v>0</v>
      </c>
      <c r="I10" s="2" t="n">
        <v>0</v>
      </c>
      <c r="J10" s="2" t="n">
        <v>0</v>
      </c>
      <c r="K10" s="2" t="n">
        <v>1</v>
      </c>
    </row>
    <row r="11" customFormat="false" ht="15" hidden="false" customHeight="false" outlineLevel="0" collapsed="false">
      <c r="A11" s="2" t="s">
        <v>132</v>
      </c>
      <c r="B11" s="2" t="s">
        <v>11</v>
      </c>
      <c r="C11" s="2" t="s">
        <v>127</v>
      </c>
      <c r="D11" s="2" t="s">
        <v>128</v>
      </c>
      <c r="E11" s="3" t="n">
        <v>3.4</v>
      </c>
      <c r="F11" s="3" t="n">
        <v>6.5</v>
      </c>
      <c r="G11" s="2" t="n">
        <v>0</v>
      </c>
      <c r="H11" s="2" t="n">
        <v>0</v>
      </c>
      <c r="I11" s="2" t="n">
        <v>0</v>
      </c>
      <c r="J11" s="2" t="n">
        <v>0</v>
      </c>
      <c r="K11" s="2" t="n">
        <v>1</v>
      </c>
    </row>
    <row r="12" customFormat="false" ht="15" hidden="false" customHeight="false" outlineLevel="0" collapsed="false">
      <c r="A12" s="2" t="s">
        <v>133</v>
      </c>
      <c r="B12" s="2" t="s">
        <v>12</v>
      </c>
      <c r="C12" s="2" t="s">
        <v>134</v>
      </c>
      <c r="D12" s="2" t="s">
        <v>124</v>
      </c>
      <c r="E12" s="3" t="n">
        <v>4.3</v>
      </c>
      <c r="F12" s="3" t="n">
        <v>100</v>
      </c>
      <c r="G12" s="2" t="n">
        <v>0</v>
      </c>
      <c r="H12" s="2" t="n">
        <v>0</v>
      </c>
      <c r="I12" s="2" t="n">
        <v>0</v>
      </c>
      <c r="J12" s="2" t="n">
        <v>1</v>
      </c>
      <c r="K12" s="2" t="n">
        <v>0</v>
      </c>
    </row>
    <row r="13" customFormat="false" ht="15" hidden="false" customHeight="false" outlineLevel="0" collapsed="false">
      <c r="A13" s="2" t="s">
        <v>135</v>
      </c>
      <c r="B13" s="2" t="s">
        <v>13</v>
      </c>
      <c r="C13" s="2" t="s">
        <v>136</v>
      </c>
      <c r="D13" s="2" t="s">
        <v>121</v>
      </c>
      <c r="E13" s="3" t="n">
        <v>3.4</v>
      </c>
      <c r="F13" s="3" t="n">
        <v>10</v>
      </c>
      <c r="G13" s="2" t="n">
        <v>0</v>
      </c>
      <c r="H13" s="2" t="n">
        <v>0</v>
      </c>
      <c r="I13" s="2" t="n">
        <v>1</v>
      </c>
      <c r="J13" s="2" t="n">
        <v>0</v>
      </c>
      <c r="K13" s="2" t="n">
        <v>0</v>
      </c>
    </row>
    <row r="14" customFormat="false" ht="15" hidden="false" customHeight="false" outlineLevel="0" collapsed="false">
      <c r="A14" s="2" t="s">
        <v>137</v>
      </c>
      <c r="B14" s="2" t="s">
        <v>14</v>
      </c>
      <c r="C14" s="2" t="s">
        <v>138</v>
      </c>
      <c r="D14" s="2" t="s">
        <v>124</v>
      </c>
      <c r="E14" s="3" t="n">
        <v>4.5</v>
      </c>
      <c r="F14" s="3" t="n">
        <v>46</v>
      </c>
      <c r="G14" s="2" t="n">
        <v>0</v>
      </c>
      <c r="H14" s="2" t="n">
        <v>0</v>
      </c>
      <c r="I14" s="2" t="n">
        <v>0</v>
      </c>
      <c r="J14" s="2" t="n">
        <v>1</v>
      </c>
      <c r="K14" s="2" t="n">
        <v>0</v>
      </c>
    </row>
    <row r="15" customFormat="false" ht="15" hidden="false" customHeight="false" outlineLevel="0" collapsed="false">
      <c r="A15" s="2" t="s">
        <v>139</v>
      </c>
      <c r="B15" s="2" t="s">
        <v>15</v>
      </c>
      <c r="C15" s="2" t="s">
        <v>138</v>
      </c>
      <c r="D15" s="2" t="s">
        <v>121</v>
      </c>
      <c r="E15" s="3" t="n">
        <v>3.8</v>
      </c>
      <c r="F15" s="3" t="n">
        <v>18</v>
      </c>
      <c r="G15" s="2" t="n">
        <v>0</v>
      </c>
      <c r="H15" s="2" t="n">
        <v>0</v>
      </c>
      <c r="I15" s="2" t="n">
        <v>1</v>
      </c>
      <c r="J15" s="2" t="n">
        <v>0</v>
      </c>
      <c r="K15" s="2" t="n">
        <v>0</v>
      </c>
    </row>
    <row r="16" customFormat="false" ht="15" hidden="false" customHeight="false" outlineLevel="0" collapsed="false">
      <c r="A16" s="2" t="s">
        <v>140</v>
      </c>
      <c r="B16" s="2" t="s">
        <v>16</v>
      </c>
      <c r="C16" s="2" t="s">
        <v>141</v>
      </c>
      <c r="D16" s="2" t="s">
        <v>121</v>
      </c>
      <c r="E16" s="3" t="n">
        <v>3.7</v>
      </c>
      <c r="F16" s="3" t="n">
        <v>37</v>
      </c>
      <c r="G16" s="2" t="n">
        <v>0</v>
      </c>
      <c r="H16" s="2" t="n">
        <v>0</v>
      </c>
      <c r="I16" s="2" t="n">
        <v>1</v>
      </c>
      <c r="J16" s="2" t="n">
        <v>0</v>
      </c>
      <c r="K16" s="2" t="n">
        <v>0</v>
      </c>
    </row>
    <row r="17" customFormat="false" ht="15" hidden="false" customHeight="false" outlineLevel="0" collapsed="false">
      <c r="A17" s="2" t="s">
        <v>142</v>
      </c>
      <c r="B17" s="2" t="s">
        <v>17</v>
      </c>
      <c r="C17" s="2" t="s">
        <v>143</v>
      </c>
      <c r="D17" s="2" t="s">
        <v>121</v>
      </c>
      <c r="E17" s="3" t="n">
        <v>3.2</v>
      </c>
      <c r="F17" s="3" t="n">
        <v>11.4</v>
      </c>
      <c r="G17" s="2" t="n">
        <v>0</v>
      </c>
      <c r="H17" s="2" t="n">
        <v>0</v>
      </c>
      <c r="I17" s="2" t="n">
        <v>1</v>
      </c>
      <c r="J17" s="2" t="n">
        <v>0</v>
      </c>
      <c r="K17" s="2" t="n">
        <v>0</v>
      </c>
    </row>
    <row r="18" customFormat="false" ht="15" hidden="false" customHeight="false" outlineLevel="0" collapsed="false">
      <c r="A18" s="2" t="s">
        <v>144</v>
      </c>
      <c r="B18" s="2" t="s">
        <v>18</v>
      </c>
      <c r="C18" s="2" t="s">
        <v>145</v>
      </c>
      <c r="D18" s="2" t="s">
        <v>121</v>
      </c>
      <c r="E18" s="3" t="n">
        <v>3.9</v>
      </c>
      <c r="F18" s="3" t="n">
        <v>15</v>
      </c>
      <c r="G18" s="2" t="n">
        <v>0</v>
      </c>
      <c r="H18" s="2" t="n">
        <v>0</v>
      </c>
      <c r="I18" s="2" t="n">
        <v>1</v>
      </c>
      <c r="J18" s="2" t="n">
        <v>0</v>
      </c>
      <c r="K18" s="2" t="n">
        <v>0</v>
      </c>
    </row>
    <row r="19" customFormat="false" ht="15" hidden="false" customHeight="false" outlineLevel="0" collapsed="false">
      <c r="A19" s="2" t="s">
        <v>146</v>
      </c>
      <c r="B19" s="2" t="s">
        <v>19</v>
      </c>
      <c r="C19" s="2" t="s">
        <v>147</v>
      </c>
      <c r="D19" s="2" t="s">
        <v>121</v>
      </c>
      <c r="E19" s="3" t="n">
        <v>3.6</v>
      </c>
      <c r="F19" s="3" t="n">
        <v>30</v>
      </c>
      <c r="G19" s="2" t="n">
        <v>0</v>
      </c>
      <c r="H19" s="2" t="n">
        <v>0</v>
      </c>
      <c r="I19" s="2" t="n">
        <v>1</v>
      </c>
      <c r="J19" s="2" t="n">
        <v>0</v>
      </c>
      <c r="K19" s="2" t="n">
        <v>0</v>
      </c>
    </row>
    <row r="20" customFormat="false" ht="15" hidden="false" customHeight="false" outlineLevel="0" collapsed="false">
      <c r="A20" s="2" t="s">
        <v>148</v>
      </c>
      <c r="B20" s="2" t="s">
        <v>20</v>
      </c>
      <c r="C20" s="2" t="s">
        <v>149</v>
      </c>
      <c r="D20" s="2" t="s">
        <v>128</v>
      </c>
      <c r="E20" s="3" t="n">
        <v>3.5</v>
      </c>
      <c r="F20" s="3" t="n">
        <v>65</v>
      </c>
      <c r="G20" s="2" t="n">
        <v>0</v>
      </c>
      <c r="H20" s="2" t="n">
        <v>0</v>
      </c>
      <c r="I20" s="2" t="n">
        <v>0</v>
      </c>
      <c r="J20" s="2" t="n">
        <v>0</v>
      </c>
      <c r="K20" s="2" t="n">
        <v>1</v>
      </c>
    </row>
    <row r="21" customFormat="false" ht="15" hidden="false" customHeight="false" outlineLevel="0" collapsed="false">
      <c r="A21" s="2" t="s">
        <v>150</v>
      </c>
      <c r="B21" s="2" t="s">
        <v>21</v>
      </c>
      <c r="C21" s="2" t="s">
        <v>151</v>
      </c>
      <c r="D21" s="2" t="s">
        <v>128</v>
      </c>
      <c r="E21" s="3" t="n">
        <v>3.4</v>
      </c>
      <c r="F21" s="3" t="n">
        <v>16</v>
      </c>
      <c r="G21" s="2" t="n">
        <v>0</v>
      </c>
      <c r="H21" s="2" t="n">
        <v>0</v>
      </c>
      <c r="I21" s="2" t="n">
        <v>0</v>
      </c>
      <c r="J21" s="2" t="n">
        <v>0</v>
      </c>
      <c r="K21" s="2" t="n">
        <v>1</v>
      </c>
    </row>
    <row r="22" customFormat="false" ht="15" hidden="false" customHeight="false" outlineLevel="0" collapsed="false">
      <c r="A22" s="2" t="s">
        <v>152</v>
      </c>
      <c r="B22" s="2" t="s">
        <v>22</v>
      </c>
      <c r="C22" s="2" t="s">
        <v>153</v>
      </c>
      <c r="D22" s="2" t="s">
        <v>121</v>
      </c>
      <c r="E22" s="3" t="n">
        <v>3.7</v>
      </c>
      <c r="F22" s="3" t="n">
        <v>50</v>
      </c>
      <c r="G22" s="2" t="n">
        <v>0</v>
      </c>
      <c r="H22" s="2" t="n">
        <v>0</v>
      </c>
      <c r="I22" s="2" t="n">
        <v>1</v>
      </c>
      <c r="J22" s="2" t="n">
        <v>0</v>
      </c>
      <c r="K22" s="2" t="n">
        <v>0</v>
      </c>
    </row>
    <row r="23" customFormat="false" ht="15" hidden="false" customHeight="false" outlineLevel="0" collapsed="false">
      <c r="A23" s="2" t="s">
        <v>154</v>
      </c>
      <c r="B23" s="2" t="s">
        <v>23</v>
      </c>
      <c r="C23" s="2" t="s">
        <v>155</v>
      </c>
      <c r="D23" s="2" t="s">
        <v>156</v>
      </c>
      <c r="E23" s="3" t="n">
        <v>3</v>
      </c>
      <c r="F23" s="3" t="n">
        <v>40</v>
      </c>
      <c r="G23" s="2" t="n">
        <v>1</v>
      </c>
      <c r="H23" s="2" t="n">
        <v>0</v>
      </c>
      <c r="I23" s="2" t="n">
        <v>0</v>
      </c>
      <c r="J23" s="2" t="n">
        <v>0</v>
      </c>
      <c r="K23" s="2" t="n">
        <v>0</v>
      </c>
    </row>
    <row r="24" customFormat="false" ht="15" hidden="false" customHeight="false" outlineLevel="0" collapsed="false">
      <c r="A24" s="2" t="s">
        <v>157</v>
      </c>
      <c r="B24" s="2" t="s">
        <v>24</v>
      </c>
      <c r="C24" s="2" t="s">
        <v>147</v>
      </c>
      <c r="D24" s="2" t="s">
        <v>121</v>
      </c>
      <c r="E24" s="3" t="n">
        <v>3.9</v>
      </c>
      <c r="F24" s="3" t="n">
        <v>50</v>
      </c>
      <c r="G24" s="2" t="n">
        <v>0</v>
      </c>
      <c r="H24" s="2" t="n">
        <v>0</v>
      </c>
      <c r="I24" s="2" t="n">
        <v>1</v>
      </c>
      <c r="J24" s="2" t="n">
        <v>0</v>
      </c>
      <c r="K24" s="2" t="n">
        <v>0</v>
      </c>
    </row>
    <row r="25" customFormat="false" ht="15" hidden="false" customHeight="false" outlineLevel="0" collapsed="false">
      <c r="A25" s="2" t="s">
        <v>158</v>
      </c>
      <c r="B25" s="2" t="s">
        <v>25</v>
      </c>
      <c r="C25" s="2" t="s">
        <v>159</v>
      </c>
      <c r="D25" s="2" t="s">
        <v>121</v>
      </c>
      <c r="E25" s="3" t="n">
        <v>3.7</v>
      </c>
      <c r="F25" s="3" t="n">
        <v>25</v>
      </c>
      <c r="G25" s="2" t="n">
        <v>0</v>
      </c>
      <c r="H25" s="2" t="n">
        <v>0</v>
      </c>
      <c r="I25" s="2" t="n">
        <v>1</v>
      </c>
      <c r="J25" s="2" t="n">
        <v>0</v>
      </c>
      <c r="K25" s="2" t="n">
        <v>0</v>
      </c>
    </row>
    <row r="26" customFormat="false" ht="15" hidden="false" customHeight="false" outlineLevel="0" collapsed="false">
      <c r="A26" s="2" t="s">
        <v>160</v>
      </c>
      <c r="B26" s="2" t="s">
        <v>26</v>
      </c>
      <c r="C26" s="2" t="s">
        <v>143</v>
      </c>
      <c r="D26" s="2" t="s">
        <v>121</v>
      </c>
      <c r="E26" s="3" t="n">
        <v>3.5</v>
      </c>
      <c r="F26" s="3" t="n">
        <v>5</v>
      </c>
      <c r="G26" s="2" t="n">
        <v>0</v>
      </c>
      <c r="H26" s="2" t="n">
        <v>0</v>
      </c>
      <c r="I26" s="2" t="n">
        <v>1</v>
      </c>
      <c r="J26" s="2" t="n">
        <v>0</v>
      </c>
      <c r="K26" s="2" t="n">
        <v>0</v>
      </c>
    </row>
    <row r="27" customFormat="false" ht="15" hidden="false" customHeight="false" outlineLevel="0" collapsed="false">
      <c r="A27" s="2" t="s">
        <v>161</v>
      </c>
      <c r="B27" s="2" t="s">
        <v>27</v>
      </c>
      <c r="C27" s="2" t="s">
        <v>155</v>
      </c>
      <c r="D27" s="2" t="s">
        <v>121</v>
      </c>
      <c r="E27" s="3" t="n">
        <v>3.2</v>
      </c>
      <c r="F27" s="3" t="n">
        <v>20</v>
      </c>
      <c r="G27" s="2" t="n">
        <v>0</v>
      </c>
      <c r="H27" s="2" t="n">
        <v>0</v>
      </c>
      <c r="I27" s="2" t="n">
        <v>1</v>
      </c>
      <c r="J27" s="2" t="n">
        <v>0</v>
      </c>
      <c r="K27" s="2" t="n">
        <v>0</v>
      </c>
    </row>
    <row r="28" customFormat="false" ht="15" hidden="false" customHeight="false" outlineLevel="0" collapsed="false">
      <c r="A28" s="2" t="s">
        <v>162</v>
      </c>
      <c r="B28" s="2" t="s">
        <v>28</v>
      </c>
      <c r="C28" s="2" t="s">
        <v>155</v>
      </c>
      <c r="D28" s="2" t="s">
        <v>121</v>
      </c>
      <c r="E28" s="3" t="n">
        <v>2.7</v>
      </c>
      <c r="F28" s="3" t="n">
        <v>25.5</v>
      </c>
      <c r="G28" s="2" t="n">
        <v>0</v>
      </c>
      <c r="H28" s="2" t="n">
        <v>0</v>
      </c>
      <c r="I28" s="2" t="n">
        <v>1</v>
      </c>
      <c r="J28" s="2" t="n">
        <v>0</v>
      </c>
      <c r="K28" s="2" t="n">
        <v>0</v>
      </c>
    </row>
    <row r="29" customFormat="false" ht="15" hidden="false" customHeight="false" outlineLevel="0" collapsed="false">
      <c r="A29" s="2" t="s">
        <v>163</v>
      </c>
      <c r="B29" s="2" t="s">
        <v>29</v>
      </c>
      <c r="C29" s="2" t="s">
        <v>164</v>
      </c>
      <c r="D29" s="2" t="s">
        <v>124</v>
      </c>
      <c r="E29" s="3" t="n">
        <v>3.7</v>
      </c>
      <c r="F29" s="3" t="n">
        <v>200</v>
      </c>
      <c r="G29" s="2" t="n">
        <v>0</v>
      </c>
      <c r="H29" s="2" t="n">
        <v>0</v>
      </c>
      <c r="I29" s="2" t="n">
        <v>0</v>
      </c>
      <c r="J29" s="2" t="n">
        <v>1</v>
      </c>
      <c r="K29" s="2" t="n">
        <v>0</v>
      </c>
    </row>
    <row r="30" customFormat="false" ht="15" hidden="false" customHeight="false" outlineLevel="0" collapsed="false">
      <c r="A30" s="2" t="s">
        <v>165</v>
      </c>
      <c r="B30" s="2" t="s">
        <v>30</v>
      </c>
      <c r="C30" s="2" t="s">
        <v>166</v>
      </c>
      <c r="D30" s="2" t="s">
        <v>121</v>
      </c>
      <c r="E30" s="3" t="n">
        <v>4.1</v>
      </c>
      <c r="F30" s="3" t="n">
        <v>90</v>
      </c>
      <c r="G30" s="2" t="n">
        <v>0</v>
      </c>
      <c r="H30" s="2" t="n">
        <v>0</v>
      </c>
      <c r="I30" s="2" t="n">
        <v>1</v>
      </c>
      <c r="J30" s="2" t="n">
        <v>0</v>
      </c>
      <c r="K30" s="2" t="n">
        <v>0</v>
      </c>
    </row>
    <row r="31" customFormat="false" ht="15" hidden="false" customHeight="false" outlineLevel="0" collapsed="false">
      <c r="A31" s="2" t="s">
        <v>167</v>
      </c>
      <c r="B31" s="2" t="s">
        <v>31</v>
      </c>
      <c r="C31" s="2" t="s">
        <v>168</v>
      </c>
      <c r="D31" s="2" t="s">
        <v>121</v>
      </c>
      <c r="E31" s="3" t="n">
        <v>4.4</v>
      </c>
      <c r="F31" s="3" t="n">
        <v>25</v>
      </c>
      <c r="G31" s="2" t="n">
        <v>0</v>
      </c>
      <c r="H31" s="2" t="n">
        <v>0</v>
      </c>
      <c r="I31" s="2" t="n">
        <v>1</v>
      </c>
      <c r="J31" s="2" t="n">
        <v>0</v>
      </c>
      <c r="K31" s="2" t="n">
        <v>0</v>
      </c>
    </row>
    <row r="32" customFormat="false" ht="15" hidden="false" customHeight="false" outlineLevel="0" collapsed="false">
      <c r="A32" s="2" t="s">
        <v>169</v>
      </c>
      <c r="B32" s="2" t="s">
        <v>32</v>
      </c>
      <c r="C32" s="2" t="s">
        <v>170</v>
      </c>
      <c r="D32" s="2" t="s">
        <v>121</v>
      </c>
      <c r="E32" s="3" t="n">
        <v>3.5</v>
      </c>
      <c r="F32" s="3" t="n">
        <v>13</v>
      </c>
      <c r="G32" s="2" t="n">
        <v>0</v>
      </c>
      <c r="H32" s="2" t="n">
        <v>0</v>
      </c>
      <c r="I32" s="2" t="n">
        <v>1</v>
      </c>
      <c r="J32" s="2" t="n">
        <v>0</v>
      </c>
      <c r="K32" s="2" t="n">
        <v>0</v>
      </c>
    </row>
    <row r="33" customFormat="false" ht="15" hidden="false" customHeight="false" outlineLevel="0" collapsed="false">
      <c r="A33" s="2" t="s">
        <v>171</v>
      </c>
      <c r="B33" s="2" t="s">
        <v>33</v>
      </c>
      <c r="C33" s="2" t="s">
        <v>172</v>
      </c>
      <c r="D33" s="2" t="s">
        <v>121</v>
      </c>
      <c r="E33" s="3" t="n">
        <v>3.3</v>
      </c>
      <c r="F33" s="3" t="n">
        <v>10</v>
      </c>
      <c r="G33" s="2" t="n">
        <v>0</v>
      </c>
      <c r="H33" s="2" t="n">
        <v>0</v>
      </c>
      <c r="I33" s="2" t="n">
        <v>1</v>
      </c>
      <c r="J33" s="2" t="n">
        <v>0</v>
      </c>
      <c r="K33" s="2" t="n">
        <v>0</v>
      </c>
    </row>
    <row r="34" customFormat="false" ht="15" hidden="false" customHeight="false" outlineLevel="0" collapsed="false">
      <c r="A34" s="2" t="s">
        <v>173</v>
      </c>
      <c r="B34" s="2" t="s">
        <v>34</v>
      </c>
      <c r="C34" s="2" t="s">
        <v>174</v>
      </c>
      <c r="D34" s="2" t="s">
        <v>121</v>
      </c>
      <c r="E34" s="3" t="n">
        <v>3.5</v>
      </c>
      <c r="F34" s="3" t="n">
        <v>19</v>
      </c>
      <c r="G34" s="2" t="n">
        <v>0</v>
      </c>
      <c r="H34" s="2" t="n">
        <v>0</v>
      </c>
      <c r="I34" s="2" t="n">
        <v>1</v>
      </c>
      <c r="J34" s="2" t="n">
        <v>0</v>
      </c>
      <c r="K34" s="2" t="n">
        <v>0</v>
      </c>
    </row>
    <row r="35" customFormat="false" ht="15" hidden="false" customHeight="false" outlineLevel="0" collapsed="false">
      <c r="A35" s="2" t="s">
        <v>175</v>
      </c>
      <c r="B35" s="2" t="s">
        <v>35</v>
      </c>
      <c r="C35" s="2" t="s">
        <v>176</v>
      </c>
      <c r="D35" s="2" t="s">
        <v>121</v>
      </c>
      <c r="E35" s="3" t="n">
        <v>3.1</v>
      </c>
      <c r="F35" s="3" t="n">
        <v>61</v>
      </c>
      <c r="G35" s="2" t="n">
        <v>0</v>
      </c>
      <c r="H35" s="2" t="n">
        <v>0</v>
      </c>
      <c r="I35" s="2" t="n">
        <v>1</v>
      </c>
      <c r="J35" s="2" t="n">
        <v>0</v>
      </c>
      <c r="K35" s="2" t="n">
        <v>0</v>
      </c>
    </row>
    <row r="36" customFormat="false" ht="15" hidden="false" customHeight="false" outlineLevel="0" collapsed="false">
      <c r="A36" s="2" t="s">
        <v>177</v>
      </c>
      <c r="B36" s="2" t="s">
        <v>36</v>
      </c>
      <c r="C36" s="2" t="s">
        <v>178</v>
      </c>
      <c r="D36" s="2" t="s">
        <v>121</v>
      </c>
      <c r="E36" s="3" t="n">
        <v>3.9</v>
      </c>
      <c r="F36" s="3" t="n">
        <v>94</v>
      </c>
      <c r="G36" s="2" t="n">
        <v>0</v>
      </c>
      <c r="H36" s="2" t="n">
        <v>0</v>
      </c>
      <c r="I36" s="2" t="n">
        <v>1</v>
      </c>
      <c r="J36" s="2" t="n">
        <v>0</v>
      </c>
      <c r="K36" s="2" t="n">
        <v>0</v>
      </c>
    </row>
    <row r="37" customFormat="false" ht="15" hidden="false" customHeight="false" outlineLevel="0" collapsed="false">
      <c r="A37" s="2" t="s">
        <v>179</v>
      </c>
      <c r="B37" s="2" t="s">
        <v>37</v>
      </c>
      <c r="C37" s="2" t="s">
        <v>178</v>
      </c>
      <c r="D37" s="2" t="s">
        <v>121</v>
      </c>
      <c r="E37" s="3" t="n">
        <v>3.8</v>
      </c>
      <c r="F37" s="3" t="n">
        <v>60</v>
      </c>
      <c r="G37" s="2" t="n">
        <v>0</v>
      </c>
      <c r="H37" s="2" t="n">
        <v>0</v>
      </c>
      <c r="I37" s="2" t="n">
        <v>1</v>
      </c>
      <c r="J37" s="2" t="n">
        <v>0</v>
      </c>
      <c r="K37" s="2" t="n">
        <v>0</v>
      </c>
    </row>
    <row r="38" customFormat="false" ht="15" hidden="false" customHeight="false" outlineLevel="0" collapsed="false">
      <c r="A38" s="2" t="s">
        <v>180</v>
      </c>
      <c r="B38" s="2" t="s">
        <v>38</v>
      </c>
      <c r="C38" s="2" t="s">
        <v>181</v>
      </c>
      <c r="D38" s="2" t="s">
        <v>121</v>
      </c>
      <c r="E38" s="3" t="n">
        <v>2.7</v>
      </c>
      <c r="F38" s="3" t="n">
        <v>20</v>
      </c>
      <c r="G38" s="2" t="n">
        <v>0</v>
      </c>
      <c r="H38" s="2" t="n">
        <v>0</v>
      </c>
      <c r="I38" s="2" t="n">
        <v>1</v>
      </c>
      <c r="J38" s="2" t="n">
        <v>0</v>
      </c>
      <c r="K38" s="2" t="n">
        <v>0</v>
      </c>
    </row>
    <row r="39" customFormat="false" ht="15" hidden="false" customHeight="false" outlineLevel="0" collapsed="false">
      <c r="A39" s="2" t="s">
        <v>182</v>
      </c>
      <c r="B39" s="2" t="s">
        <v>39</v>
      </c>
      <c r="C39" s="2" t="s">
        <v>176</v>
      </c>
      <c r="D39" s="2" t="s">
        <v>121</v>
      </c>
      <c r="E39" s="3" t="n">
        <v>3.4</v>
      </c>
      <c r="F39" s="3" t="n">
        <v>25</v>
      </c>
      <c r="G39" s="2" t="n">
        <v>0</v>
      </c>
      <c r="H39" s="2" t="n">
        <v>0</v>
      </c>
      <c r="I39" s="2" t="n">
        <v>1</v>
      </c>
      <c r="J39" s="2" t="n">
        <v>0</v>
      </c>
      <c r="K39" s="2" t="n">
        <v>0</v>
      </c>
    </row>
    <row r="40" customFormat="false" ht="15" hidden="false" customHeight="false" outlineLevel="0" collapsed="false">
      <c r="A40" s="2" t="s">
        <v>183</v>
      </c>
      <c r="B40" s="2" t="s">
        <v>40</v>
      </c>
      <c r="C40" s="2" t="s">
        <v>172</v>
      </c>
      <c r="D40" s="2" t="s">
        <v>121</v>
      </c>
      <c r="E40" s="3" t="n">
        <v>3.3</v>
      </c>
      <c r="F40" s="3" t="n">
        <v>10</v>
      </c>
      <c r="G40" s="2" t="n">
        <v>0</v>
      </c>
      <c r="H40" s="2" t="n">
        <v>0</v>
      </c>
      <c r="I40" s="2" t="n">
        <v>1</v>
      </c>
      <c r="J40" s="2" t="n">
        <v>0</v>
      </c>
      <c r="K40" s="2" t="n">
        <v>0</v>
      </c>
    </row>
    <row r="41" customFormat="false" ht="15" hidden="false" customHeight="false" outlineLevel="0" collapsed="false">
      <c r="A41" s="2" t="s">
        <v>184</v>
      </c>
      <c r="B41" s="2" t="s">
        <v>41</v>
      </c>
      <c r="C41" s="2" t="s">
        <v>172</v>
      </c>
      <c r="D41" s="2" t="s">
        <v>121</v>
      </c>
      <c r="E41" s="3" t="n">
        <v>3.2</v>
      </c>
      <c r="F41" s="3" t="n">
        <v>6.1</v>
      </c>
      <c r="G41" s="2" t="n">
        <v>0</v>
      </c>
      <c r="H41" s="2" t="n">
        <v>0</v>
      </c>
      <c r="I41" s="2" t="n">
        <v>1</v>
      </c>
      <c r="J41" s="2" t="n">
        <v>0</v>
      </c>
      <c r="K41" s="2" t="n">
        <v>0</v>
      </c>
    </row>
    <row r="42" customFormat="false" ht="15" hidden="false" customHeight="false" outlineLevel="0" collapsed="false">
      <c r="A42" s="2" t="s">
        <v>185</v>
      </c>
      <c r="B42" s="2" t="s">
        <v>42</v>
      </c>
      <c r="C42" s="2" t="s">
        <v>186</v>
      </c>
      <c r="D42" s="2" t="s">
        <v>121</v>
      </c>
      <c r="E42" s="3" t="n">
        <v>4.5</v>
      </c>
      <c r="F42" s="3" t="n">
        <v>30</v>
      </c>
      <c r="G42" s="2" t="n">
        <v>0</v>
      </c>
      <c r="H42" s="2" t="n">
        <v>0</v>
      </c>
      <c r="I42" s="2" t="n">
        <v>1</v>
      </c>
      <c r="J42" s="2" t="n">
        <v>0</v>
      </c>
      <c r="K42" s="2" t="n">
        <v>0</v>
      </c>
    </row>
    <row r="43" customFormat="false" ht="15" hidden="false" customHeight="false" outlineLevel="0" collapsed="false">
      <c r="A43" s="2" t="s">
        <v>187</v>
      </c>
      <c r="B43" s="2" t="s">
        <v>43</v>
      </c>
      <c r="C43" s="2" t="s">
        <v>188</v>
      </c>
      <c r="D43" s="2" t="s">
        <v>121</v>
      </c>
      <c r="E43" s="3" t="n">
        <v>3.5</v>
      </c>
      <c r="F43" s="3" t="n">
        <v>25</v>
      </c>
      <c r="G43" s="2" t="n">
        <v>0</v>
      </c>
      <c r="H43" s="2" t="n">
        <v>0</v>
      </c>
      <c r="I43" s="2" t="n">
        <v>1</v>
      </c>
      <c r="J43" s="2" t="n">
        <v>0</v>
      </c>
      <c r="K43" s="2" t="n">
        <v>0</v>
      </c>
    </row>
    <row r="44" customFormat="false" ht="15" hidden="false" customHeight="false" outlineLevel="0" collapsed="false">
      <c r="A44" s="2" t="s">
        <v>189</v>
      </c>
      <c r="B44" s="2" t="s">
        <v>44</v>
      </c>
      <c r="C44" s="2" t="s">
        <v>190</v>
      </c>
      <c r="D44" s="2" t="s">
        <v>124</v>
      </c>
      <c r="E44" s="3" t="n">
        <v>4</v>
      </c>
      <c r="F44" s="3" t="n">
        <v>50</v>
      </c>
      <c r="G44" s="2" t="n">
        <v>0</v>
      </c>
      <c r="H44" s="2" t="n">
        <v>0</v>
      </c>
      <c r="I44" s="2" t="n">
        <v>0</v>
      </c>
      <c r="J44" s="2" t="n">
        <v>1</v>
      </c>
      <c r="K44" s="2" t="n">
        <v>0</v>
      </c>
    </row>
    <row r="45" customFormat="false" ht="15" hidden="false" customHeight="false" outlineLevel="0" collapsed="false">
      <c r="A45" s="2" t="s">
        <v>191</v>
      </c>
      <c r="B45" s="2" t="s">
        <v>45</v>
      </c>
      <c r="C45" s="2" t="s">
        <v>192</v>
      </c>
      <c r="D45" s="2" t="s">
        <v>121</v>
      </c>
      <c r="E45" s="3" t="n">
        <v>3.8</v>
      </c>
      <c r="F45" s="3" t="n">
        <v>45</v>
      </c>
      <c r="G45" s="2" t="n">
        <v>0</v>
      </c>
      <c r="H45" s="2" t="n">
        <v>0</v>
      </c>
      <c r="I45" s="2" t="n">
        <v>1</v>
      </c>
      <c r="J45" s="2" t="n">
        <v>0</v>
      </c>
      <c r="K45" s="2" t="n">
        <v>0</v>
      </c>
    </row>
    <row r="46" customFormat="false" ht="15" hidden="false" customHeight="false" outlineLevel="0" collapsed="false">
      <c r="A46" s="2" t="s">
        <v>193</v>
      </c>
      <c r="B46" s="2" t="s">
        <v>46</v>
      </c>
      <c r="C46" s="2" t="s">
        <v>178</v>
      </c>
      <c r="D46" s="2" t="s">
        <v>124</v>
      </c>
      <c r="E46" s="3" t="n">
        <v>3.9</v>
      </c>
      <c r="F46" s="3" t="n">
        <v>56</v>
      </c>
      <c r="G46" s="2" t="n">
        <v>0</v>
      </c>
      <c r="H46" s="2" t="n">
        <v>0</v>
      </c>
      <c r="I46" s="2" t="n">
        <v>0</v>
      </c>
      <c r="J46" s="2" t="n">
        <v>1</v>
      </c>
      <c r="K46" s="2" t="n">
        <v>0</v>
      </c>
    </row>
    <row r="47" customFormat="false" ht="15" hidden="false" customHeight="false" outlineLevel="0" collapsed="false">
      <c r="A47" s="2" t="s">
        <v>194</v>
      </c>
      <c r="B47" s="2" t="s">
        <v>47</v>
      </c>
      <c r="C47" s="2" t="s">
        <v>159</v>
      </c>
      <c r="D47" s="2" t="s">
        <v>128</v>
      </c>
      <c r="E47" s="3" t="n">
        <v>3.5</v>
      </c>
      <c r="F47" s="3" t="n">
        <v>20</v>
      </c>
      <c r="G47" s="2" t="n">
        <v>0</v>
      </c>
      <c r="H47" s="2" t="n">
        <v>0</v>
      </c>
      <c r="I47" s="2" t="n">
        <v>0</v>
      </c>
      <c r="J47" s="2" t="n">
        <v>0</v>
      </c>
      <c r="K47" s="2" t="n">
        <v>1</v>
      </c>
    </row>
    <row r="48" customFormat="false" ht="15" hidden="false" customHeight="false" outlineLevel="0" collapsed="false">
      <c r="A48" s="2" t="s">
        <v>195</v>
      </c>
      <c r="B48" s="2" t="s">
        <v>48</v>
      </c>
      <c r="C48" s="2" t="s">
        <v>196</v>
      </c>
      <c r="D48" s="2" t="s">
        <v>121</v>
      </c>
      <c r="E48" s="3" t="n">
        <v>3.7</v>
      </c>
      <c r="F48" s="3" t="n">
        <v>30</v>
      </c>
      <c r="G48" s="2" t="n">
        <v>0</v>
      </c>
      <c r="H48" s="2" t="n">
        <v>0</v>
      </c>
      <c r="I48" s="2" t="n">
        <v>1</v>
      </c>
      <c r="J48" s="2" t="n">
        <v>0</v>
      </c>
      <c r="K48" s="2" t="n">
        <v>0</v>
      </c>
    </row>
    <row r="49" customFormat="false" ht="15" hidden="false" customHeight="false" outlineLevel="0" collapsed="false">
      <c r="A49" s="2" t="s">
        <v>197</v>
      </c>
      <c r="B49" s="2" t="s">
        <v>49</v>
      </c>
      <c r="C49" s="2" t="s">
        <v>159</v>
      </c>
      <c r="D49" s="2" t="s">
        <v>121</v>
      </c>
      <c r="E49" s="3" t="n">
        <v>3.7</v>
      </c>
      <c r="F49" s="3" t="n">
        <v>15</v>
      </c>
      <c r="G49" s="2" t="n">
        <v>0</v>
      </c>
      <c r="H49" s="2" t="n">
        <v>0</v>
      </c>
      <c r="I49" s="2" t="n">
        <v>1</v>
      </c>
      <c r="J49" s="2" t="n">
        <v>0</v>
      </c>
      <c r="K49" s="2" t="n">
        <v>0</v>
      </c>
    </row>
    <row r="50" customFormat="false" ht="15" hidden="false" customHeight="false" outlineLevel="0" collapsed="false">
      <c r="A50" s="2" t="s">
        <v>198</v>
      </c>
      <c r="B50" s="2" t="s">
        <v>50</v>
      </c>
      <c r="C50" s="2" t="s">
        <v>199</v>
      </c>
      <c r="D50" s="2" t="s">
        <v>124</v>
      </c>
      <c r="E50" s="3" t="n">
        <v>4.2</v>
      </c>
      <c r="F50" s="3" t="n">
        <v>25</v>
      </c>
      <c r="G50" s="2" t="n">
        <v>0</v>
      </c>
      <c r="H50" s="2" t="n">
        <v>0</v>
      </c>
      <c r="I50" s="2" t="n">
        <v>0</v>
      </c>
      <c r="J50" s="2" t="n">
        <v>1</v>
      </c>
      <c r="K50" s="2" t="n">
        <v>0</v>
      </c>
    </row>
    <row r="51" customFormat="false" ht="15" hidden="false" customHeight="false" outlineLevel="0" collapsed="false">
      <c r="A51" s="2" t="s">
        <v>200</v>
      </c>
      <c r="B51" s="2" t="s">
        <v>51</v>
      </c>
      <c r="C51" s="2" t="s">
        <v>199</v>
      </c>
      <c r="D51" s="2" t="s">
        <v>124</v>
      </c>
      <c r="E51" s="3" t="n">
        <v>4.3</v>
      </c>
      <c r="F51" s="3" t="n">
        <v>45</v>
      </c>
      <c r="G51" s="2" t="n">
        <v>0</v>
      </c>
      <c r="H51" s="2" t="n">
        <v>0</v>
      </c>
      <c r="I51" s="2" t="n">
        <v>0</v>
      </c>
      <c r="J51" s="2" t="n">
        <v>1</v>
      </c>
      <c r="K51" s="2" t="n">
        <v>0</v>
      </c>
    </row>
    <row r="52" customFormat="false" ht="15" hidden="false" customHeight="false" outlineLevel="0" collapsed="false">
      <c r="A52" s="2" t="s">
        <v>201</v>
      </c>
      <c r="B52" s="2" t="s">
        <v>52</v>
      </c>
      <c r="C52" s="2" t="s">
        <v>188</v>
      </c>
      <c r="D52" s="2" t="s">
        <v>121</v>
      </c>
      <c r="E52" s="3" t="n">
        <v>3.4</v>
      </c>
      <c r="F52" s="3" t="n">
        <v>9</v>
      </c>
      <c r="G52" s="2" t="n">
        <v>0</v>
      </c>
      <c r="H52" s="2" t="n">
        <v>0</v>
      </c>
      <c r="I52" s="2" t="n">
        <v>1</v>
      </c>
      <c r="J52" s="2" t="n">
        <v>0</v>
      </c>
      <c r="K52" s="2" t="n">
        <v>0</v>
      </c>
    </row>
    <row r="53" customFormat="false" ht="15" hidden="false" customHeight="false" outlineLevel="0" collapsed="false">
      <c r="A53" s="2" t="s">
        <v>202</v>
      </c>
      <c r="B53" s="2" t="s">
        <v>53</v>
      </c>
      <c r="C53" s="2" t="s">
        <v>188</v>
      </c>
      <c r="D53" s="2" t="s">
        <v>121</v>
      </c>
      <c r="E53" s="3" t="n">
        <v>3.4</v>
      </c>
      <c r="F53" s="3" t="n">
        <v>10</v>
      </c>
      <c r="G53" s="2" t="n">
        <v>0</v>
      </c>
      <c r="H53" s="2" t="n">
        <v>0</v>
      </c>
      <c r="I53" s="2" t="n">
        <v>1</v>
      </c>
      <c r="J53" s="2" t="n">
        <v>0</v>
      </c>
      <c r="K53" s="2" t="n">
        <v>0</v>
      </c>
    </row>
    <row r="54" customFormat="false" ht="15" hidden="false" customHeight="false" outlineLevel="0" collapsed="false">
      <c r="A54" s="2" t="s">
        <v>203</v>
      </c>
      <c r="B54" s="2" t="s">
        <v>54</v>
      </c>
      <c r="C54" s="2" t="s">
        <v>188</v>
      </c>
      <c r="D54" s="2" t="s">
        <v>121</v>
      </c>
      <c r="E54" s="3" t="n">
        <v>3.5</v>
      </c>
      <c r="F54" s="3" t="n">
        <v>13</v>
      </c>
      <c r="G54" s="2" t="n">
        <v>0</v>
      </c>
      <c r="H54" s="2" t="n">
        <v>0</v>
      </c>
      <c r="I54" s="2" t="n">
        <v>1</v>
      </c>
      <c r="J54" s="2" t="n">
        <v>0</v>
      </c>
      <c r="K54" s="2" t="n">
        <v>0</v>
      </c>
    </row>
    <row r="55" customFormat="false" ht="15" hidden="false" customHeight="false" outlineLevel="0" collapsed="false">
      <c r="A55" s="2" t="s">
        <v>204</v>
      </c>
      <c r="B55" s="2" t="s">
        <v>55</v>
      </c>
      <c r="C55" s="2" t="s">
        <v>188</v>
      </c>
      <c r="D55" s="2" t="s">
        <v>121</v>
      </c>
      <c r="E55" s="3" t="n">
        <v>3.6</v>
      </c>
      <c r="F55" s="3" t="n">
        <v>16</v>
      </c>
      <c r="G55" s="2" t="n">
        <v>0</v>
      </c>
      <c r="H55" s="2" t="n">
        <v>0</v>
      </c>
      <c r="I55" s="2" t="n">
        <v>1</v>
      </c>
      <c r="J55" s="2" t="n">
        <v>0</v>
      </c>
      <c r="K55" s="2" t="n">
        <v>0</v>
      </c>
    </row>
    <row r="56" customFormat="false" ht="15" hidden="false" customHeight="false" outlineLevel="0" collapsed="false">
      <c r="A56" s="2" t="s">
        <v>205</v>
      </c>
      <c r="B56" s="2" t="s">
        <v>56</v>
      </c>
      <c r="C56" s="2" t="s">
        <v>159</v>
      </c>
      <c r="D56" s="2" t="s">
        <v>121</v>
      </c>
      <c r="E56" s="3" t="n">
        <v>3.4</v>
      </c>
      <c r="F56" s="3" t="n">
        <v>7.5</v>
      </c>
      <c r="G56" s="2" t="n">
        <v>0</v>
      </c>
      <c r="H56" s="2" t="n">
        <v>0</v>
      </c>
      <c r="I56" s="2" t="n">
        <v>1</v>
      </c>
      <c r="J56" s="2" t="n">
        <v>0</v>
      </c>
      <c r="K56" s="2" t="n">
        <v>0</v>
      </c>
    </row>
    <row r="57" customFormat="false" ht="15" hidden="false" customHeight="false" outlineLevel="0" collapsed="false">
      <c r="A57" s="2" t="s">
        <v>206</v>
      </c>
      <c r="B57" s="2" t="s">
        <v>57</v>
      </c>
      <c r="C57" s="2" t="s">
        <v>159</v>
      </c>
      <c r="D57" s="2" t="s">
        <v>121</v>
      </c>
      <c r="E57" s="3" t="n">
        <v>3.5</v>
      </c>
      <c r="F57" s="3" t="n">
        <v>19</v>
      </c>
      <c r="G57" s="2" t="n">
        <v>0</v>
      </c>
      <c r="H57" s="2" t="n">
        <v>0</v>
      </c>
      <c r="I57" s="2" t="n">
        <v>1</v>
      </c>
      <c r="J57" s="2" t="n">
        <v>0</v>
      </c>
      <c r="K57" s="2" t="n">
        <v>0</v>
      </c>
    </row>
    <row r="58" customFormat="false" ht="15" hidden="false" customHeight="false" outlineLevel="0" collapsed="false">
      <c r="A58" s="2" t="s">
        <v>207</v>
      </c>
      <c r="B58" s="2" t="s">
        <v>58</v>
      </c>
      <c r="C58" s="2" t="s">
        <v>159</v>
      </c>
      <c r="D58" s="2" t="s">
        <v>121</v>
      </c>
      <c r="E58" s="3" t="n">
        <v>3.2</v>
      </c>
      <c r="F58" s="3" t="n">
        <v>5</v>
      </c>
      <c r="G58" s="2" t="n">
        <v>0</v>
      </c>
      <c r="H58" s="2" t="n">
        <v>0</v>
      </c>
      <c r="I58" s="2" t="n">
        <v>1</v>
      </c>
      <c r="J58" s="2" t="n">
        <v>0</v>
      </c>
      <c r="K58" s="2" t="n">
        <v>0</v>
      </c>
    </row>
    <row r="59" customFormat="false" ht="15" hidden="false" customHeight="false" outlineLevel="0" collapsed="false">
      <c r="A59" s="2" t="s">
        <v>208</v>
      </c>
      <c r="B59" s="2" t="s">
        <v>59</v>
      </c>
      <c r="C59" s="2" t="s">
        <v>159</v>
      </c>
      <c r="D59" s="2" t="s">
        <v>121</v>
      </c>
      <c r="E59" s="3" t="n">
        <v>3.3</v>
      </c>
      <c r="F59" s="3" t="n">
        <v>8</v>
      </c>
      <c r="G59" s="2" t="n">
        <v>0</v>
      </c>
      <c r="H59" s="2" t="n">
        <v>0</v>
      </c>
      <c r="I59" s="2" t="n">
        <v>1</v>
      </c>
      <c r="J59" s="2" t="n">
        <v>0</v>
      </c>
      <c r="K59" s="2" t="n">
        <v>0</v>
      </c>
    </row>
    <row r="60" customFormat="false" ht="15" hidden="false" customHeight="false" outlineLevel="0" collapsed="false">
      <c r="A60" s="2" t="s">
        <v>209</v>
      </c>
      <c r="B60" s="2" t="s">
        <v>60</v>
      </c>
      <c r="C60" s="2" t="s">
        <v>159</v>
      </c>
      <c r="D60" s="2" t="s">
        <v>121</v>
      </c>
      <c r="E60" s="3" t="n">
        <v>3.5</v>
      </c>
      <c r="F60" s="3" t="n">
        <v>20</v>
      </c>
      <c r="G60" s="2" t="n">
        <v>0</v>
      </c>
      <c r="H60" s="2" t="n">
        <v>0</v>
      </c>
      <c r="I60" s="2" t="n">
        <v>1</v>
      </c>
      <c r="J60" s="2" t="n">
        <v>0</v>
      </c>
      <c r="K60" s="2" t="n">
        <v>0</v>
      </c>
    </row>
    <row r="61" customFormat="false" ht="15" hidden="false" customHeight="false" outlineLevel="0" collapsed="false">
      <c r="A61" s="2" t="s">
        <v>210</v>
      </c>
      <c r="B61" s="2" t="s">
        <v>61</v>
      </c>
      <c r="C61" s="2" t="s">
        <v>159</v>
      </c>
      <c r="D61" s="2" t="s">
        <v>128</v>
      </c>
      <c r="E61" s="3" t="n">
        <v>3.1</v>
      </c>
      <c r="F61" s="3" t="n">
        <v>8</v>
      </c>
      <c r="G61" s="2" t="n">
        <v>0</v>
      </c>
      <c r="H61" s="2" t="n">
        <v>0</v>
      </c>
      <c r="I61" s="2" t="n">
        <v>0</v>
      </c>
      <c r="J61" s="2" t="n">
        <v>0</v>
      </c>
      <c r="K61" s="2" t="n">
        <v>1</v>
      </c>
    </row>
    <row r="62" customFormat="false" ht="15" hidden="false" customHeight="false" outlineLevel="0" collapsed="false">
      <c r="A62" s="2" t="s">
        <v>211</v>
      </c>
      <c r="B62" s="2" t="s">
        <v>62</v>
      </c>
      <c r="C62" s="2" t="s">
        <v>212</v>
      </c>
      <c r="D62" s="2" t="s">
        <v>121</v>
      </c>
      <c r="E62" s="3" t="n">
        <v>3.4</v>
      </c>
      <c r="F62" s="3" t="n">
        <v>20</v>
      </c>
      <c r="G62" s="2" t="n">
        <v>0</v>
      </c>
      <c r="H62" s="2" t="n">
        <v>0</v>
      </c>
      <c r="I62" s="2" t="n">
        <v>1</v>
      </c>
      <c r="J62" s="2" t="n">
        <v>0</v>
      </c>
      <c r="K62" s="2" t="n">
        <v>0</v>
      </c>
    </row>
    <row r="63" customFormat="false" ht="15" hidden="false" customHeight="false" outlineLevel="0" collapsed="false">
      <c r="A63" s="2" t="s">
        <v>213</v>
      </c>
      <c r="B63" s="2" t="s">
        <v>63</v>
      </c>
      <c r="C63" s="2" t="s">
        <v>212</v>
      </c>
      <c r="D63" s="2" t="s">
        <v>115</v>
      </c>
      <c r="E63" s="3" t="n">
        <v>3.3</v>
      </c>
      <c r="F63" s="3" t="n">
        <v>30</v>
      </c>
      <c r="G63" s="2" t="n">
        <v>0</v>
      </c>
      <c r="H63" s="2" t="n">
        <v>0</v>
      </c>
      <c r="I63" s="2" t="n">
        <v>1</v>
      </c>
      <c r="J63" s="2" t="n">
        <v>0</v>
      </c>
      <c r="K63" s="2" t="n">
        <v>0</v>
      </c>
    </row>
    <row r="64" customFormat="false" ht="15" hidden="false" customHeight="false" outlineLevel="0" collapsed="false">
      <c r="A64" s="2" t="s">
        <v>214</v>
      </c>
      <c r="B64" s="2" t="s">
        <v>64</v>
      </c>
      <c r="C64" s="2" t="s">
        <v>215</v>
      </c>
      <c r="D64" s="2" t="s">
        <v>121</v>
      </c>
      <c r="E64" s="3" t="n">
        <v>3.2</v>
      </c>
      <c r="F64" s="3" t="n">
        <v>2.2</v>
      </c>
      <c r="G64" s="2" t="n">
        <v>0</v>
      </c>
      <c r="H64" s="2" t="n">
        <v>0</v>
      </c>
      <c r="I64" s="2" t="n">
        <v>1</v>
      </c>
      <c r="J64" s="2" t="n">
        <v>0</v>
      </c>
      <c r="K64" s="2" t="n">
        <v>0</v>
      </c>
    </row>
    <row r="65" customFormat="false" ht="15" hidden="false" customHeight="false" outlineLevel="0" collapsed="false">
      <c r="A65" s="2" t="s">
        <v>216</v>
      </c>
      <c r="B65" s="2" t="s">
        <v>65</v>
      </c>
      <c r="C65" s="2" t="s">
        <v>181</v>
      </c>
      <c r="D65" s="2" t="s">
        <v>156</v>
      </c>
      <c r="E65" s="3" t="n">
        <v>2.9</v>
      </c>
      <c r="F65" s="3" t="n">
        <v>20</v>
      </c>
      <c r="G65" s="2" t="n">
        <v>1</v>
      </c>
      <c r="H65" s="2" t="n">
        <v>0</v>
      </c>
      <c r="I65" s="2" t="n">
        <v>0</v>
      </c>
      <c r="J65" s="2" t="n">
        <v>0</v>
      </c>
      <c r="K65" s="2" t="n">
        <v>0</v>
      </c>
    </row>
    <row r="66" customFormat="false" ht="15" hidden="false" customHeight="false" outlineLevel="0" collapsed="false">
      <c r="A66" s="2" t="s">
        <v>217</v>
      </c>
      <c r="B66" s="2" t="s">
        <v>66</v>
      </c>
      <c r="C66" s="2" t="s">
        <v>218</v>
      </c>
      <c r="D66" s="2" t="s">
        <v>121</v>
      </c>
      <c r="E66" s="3" t="n">
        <v>3.3</v>
      </c>
      <c r="F66" s="3" t="n">
        <v>40</v>
      </c>
      <c r="G66" s="2" t="n">
        <v>0</v>
      </c>
      <c r="H66" s="2" t="n">
        <v>0</v>
      </c>
      <c r="I66" s="2" t="n">
        <v>1</v>
      </c>
      <c r="J66" s="2" t="n">
        <v>0</v>
      </c>
      <c r="K66" s="2" t="n">
        <v>0</v>
      </c>
    </row>
    <row r="67" customFormat="false" ht="15" hidden="false" customHeight="false" outlineLevel="0" collapsed="false">
      <c r="A67" s="2" t="s">
        <v>219</v>
      </c>
      <c r="B67" s="2" t="s">
        <v>67</v>
      </c>
      <c r="C67" s="2" t="s">
        <v>218</v>
      </c>
      <c r="D67" s="2" t="s">
        <v>124</v>
      </c>
      <c r="E67" s="3" t="n">
        <v>3.6</v>
      </c>
      <c r="F67" s="3" t="n">
        <v>30</v>
      </c>
      <c r="G67" s="2" t="n">
        <v>0</v>
      </c>
      <c r="H67" s="2" t="n">
        <v>0</v>
      </c>
      <c r="I67" s="2" t="n">
        <v>0</v>
      </c>
      <c r="J67" s="2" t="n">
        <v>1</v>
      </c>
      <c r="K67" s="2" t="n">
        <v>0</v>
      </c>
    </row>
    <row r="68" customFormat="false" ht="15" hidden="false" customHeight="false" outlineLevel="0" collapsed="false">
      <c r="A68" s="2" t="s">
        <v>220</v>
      </c>
      <c r="B68" s="2" t="s">
        <v>68</v>
      </c>
      <c r="C68" s="2" t="s">
        <v>221</v>
      </c>
      <c r="D68" s="2" t="s">
        <v>121</v>
      </c>
      <c r="E68" s="3" t="n">
        <v>3.3</v>
      </c>
      <c r="F68" s="3" t="n">
        <v>22</v>
      </c>
      <c r="G68" s="2" t="n">
        <v>0</v>
      </c>
      <c r="H68" s="2" t="n">
        <v>0</v>
      </c>
      <c r="I68" s="2" t="n">
        <v>1</v>
      </c>
      <c r="J68" s="2" t="n">
        <v>0</v>
      </c>
      <c r="K68" s="2" t="n">
        <v>0</v>
      </c>
    </row>
    <row r="69" customFormat="false" ht="15" hidden="false" customHeight="false" outlineLevel="0" collapsed="false">
      <c r="A69" s="2" t="s">
        <v>222</v>
      </c>
      <c r="B69" s="2" t="s">
        <v>69</v>
      </c>
      <c r="C69" s="2" t="s">
        <v>199</v>
      </c>
      <c r="D69" s="2" t="s">
        <v>124</v>
      </c>
      <c r="E69" s="3" t="n">
        <v>4.5</v>
      </c>
      <c r="F69" s="3" t="n">
        <v>48.3</v>
      </c>
      <c r="G69" s="2" t="n">
        <v>0</v>
      </c>
      <c r="H69" s="2" t="n">
        <v>0</v>
      </c>
      <c r="I69" s="2" t="n">
        <v>0</v>
      </c>
      <c r="J69" s="2" t="n">
        <v>1</v>
      </c>
      <c r="K69" s="2" t="n">
        <v>0</v>
      </c>
    </row>
    <row r="70" customFormat="false" ht="15" hidden="false" customHeight="false" outlineLevel="0" collapsed="false">
      <c r="A70" s="2" t="s">
        <v>223</v>
      </c>
      <c r="B70" s="2" t="s">
        <v>70</v>
      </c>
      <c r="C70" s="2" t="s">
        <v>199</v>
      </c>
      <c r="D70" s="2" t="s">
        <v>124</v>
      </c>
      <c r="E70" s="3" t="n">
        <v>4.2</v>
      </c>
      <c r="F70" s="3" t="n">
        <v>46</v>
      </c>
      <c r="G70" s="2" t="n">
        <v>0</v>
      </c>
      <c r="H70" s="2" t="n">
        <v>0</v>
      </c>
      <c r="I70" s="2" t="n">
        <v>0</v>
      </c>
      <c r="J70" s="2" t="n">
        <v>1</v>
      </c>
      <c r="K70" s="2" t="n">
        <v>0</v>
      </c>
    </row>
    <row r="71" customFormat="false" ht="15" hidden="false" customHeight="false" outlineLevel="0" collapsed="false">
      <c r="A71" s="2" t="s">
        <v>224</v>
      </c>
      <c r="B71" s="2" t="s">
        <v>71</v>
      </c>
      <c r="C71" s="2" t="s">
        <v>199</v>
      </c>
      <c r="D71" s="2" t="s">
        <v>124</v>
      </c>
      <c r="E71" s="3" t="n">
        <v>4.7</v>
      </c>
      <c r="F71" s="3" t="n">
        <v>25</v>
      </c>
      <c r="G71" s="2" t="n">
        <v>0</v>
      </c>
      <c r="H71" s="2" t="n">
        <v>0</v>
      </c>
      <c r="I71" s="2" t="n">
        <v>0</v>
      </c>
      <c r="J71" s="2" t="n">
        <v>1</v>
      </c>
      <c r="K71" s="2" t="n">
        <v>0</v>
      </c>
    </row>
    <row r="72" customFormat="false" ht="15" hidden="false" customHeight="false" outlineLevel="0" collapsed="false">
      <c r="A72" s="2" t="s">
        <v>225</v>
      </c>
      <c r="B72" s="2" t="s">
        <v>72</v>
      </c>
      <c r="C72" s="2" t="s">
        <v>199</v>
      </c>
      <c r="D72" s="2" t="s">
        <v>124</v>
      </c>
      <c r="E72" s="3" t="n">
        <v>4.5</v>
      </c>
      <c r="F72" s="3" t="n">
        <v>40</v>
      </c>
      <c r="G72" s="2" t="n">
        <v>0</v>
      </c>
      <c r="H72" s="2" t="n">
        <v>0</v>
      </c>
      <c r="I72" s="2" t="n">
        <v>0</v>
      </c>
      <c r="J72" s="2" t="n">
        <v>1</v>
      </c>
      <c r="K72" s="2" t="n">
        <v>0</v>
      </c>
    </row>
    <row r="73" customFormat="false" ht="15" hidden="false" customHeight="false" outlineLevel="0" collapsed="false">
      <c r="A73" s="2" t="s">
        <v>226</v>
      </c>
      <c r="B73" s="2" t="s">
        <v>73</v>
      </c>
      <c r="C73" s="2" t="s">
        <v>199</v>
      </c>
      <c r="D73" s="2" t="s">
        <v>124</v>
      </c>
      <c r="E73" s="3" t="n">
        <v>4.2</v>
      </c>
      <c r="F73" s="3" t="n">
        <v>43</v>
      </c>
      <c r="G73" s="2" t="n">
        <v>0</v>
      </c>
      <c r="H73" s="2" t="n">
        <v>0</v>
      </c>
      <c r="I73" s="2" t="n">
        <v>0</v>
      </c>
      <c r="J73" s="2" t="n">
        <v>1</v>
      </c>
      <c r="K73" s="2" t="n">
        <v>0</v>
      </c>
    </row>
    <row r="74" customFormat="false" ht="15" hidden="false" customHeight="false" outlineLevel="0" collapsed="false">
      <c r="A74" s="2" t="s">
        <v>227</v>
      </c>
      <c r="B74" s="2" t="s">
        <v>74</v>
      </c>
      <c r="C74" s="2" t="s">
        <v>228</v>
      </c>
      <c r="D74" s="2" t="s">
        <v>121</v>
      </c>
      <c r="E74" s="3" t="n">
        <v>3.6</v>
      </c>
      <c r="F74" s="3" t="n">
        <v>20</v>
      </c>
      <c r="G74" s="2" t="n">
        <v>0</v>
      </c>
      <c r="H74" s="2" t="n">
        <v>0</v>
      </c>
      <c r="I74" s="2" t="n">
        <v>1</v>
      </c>
      <c r="J74" s="2" t="n">
        <v>0</v>
      </c>
      <c r="K74" s="2" t="n">
        <v>0</v>
      </c>
    </row>
    <row r="75" customFormat="false" ht="15" hidden="false" customHeight="false" outlineLevel="0" collapsed="false">
      <c r="A75" s="2" t="s">
        <v>229</v>
      </c>
      <c r="B75" s="2" t="s">
        <v>75</v>
      </c>
      <c r="C75" s="2" t="s">
        <v>199</v>
      </c>
      <c r="D75" s="2" t="s">
        <v>124</v>
      </c>
      <c r="E75" s="3" t="n">
        <v>4.4</v>
      </c>
      <c r="F75" s="3" t="n">
        <v>40</v>
      </c>
      <c r="G75" s="2" t="n">
        <v>0</v>
      </c>
      <c r="H75" s="2" t="n">
        <v>0</v>
      </c>
      <c r="I75" s="2" t="n">
        <v>0</v>
      </c>
      <c r="J75" s="2" t="n">
        <v>1</v>
      </c>
      <c r="K75" s="2" t="n">
        <v>0</v>
      </c>
    </row>
    <row r="76" customFormat="false" ht="15" hidden="false" customHeight="false" outlineLevel="0" collapsed="false">
      <c r="A76" s="2" t="s">
        <v>230</v>
      </c>
      <c r="B76" s="2" t="s">
        <v>76</v>
      </c>
      <c r="C76" s="2" t="s">
        <v>196</v>
      </c>
      <c r="D76" s="2" t="s">
        <v>121</v>
      </c>
      <c r="E76" s="3" t="n">
        <v>3.9</v>
      </c>
      <c r="F76" s="3" t="n">
        <v>30</v>
      </c>
      <c r="G76" s="2" t="n">
        <v>0</v>
      </c>
      <c r="H76" s="2" t="n">
        <v>0</v>
      </c>
      <c r="I76" s="2" t="n">
        <v>1</v>
      </c>
      <c r="J76" s="2" t="n">
        <v>0</v>
      </c>
      <c r="K76" s="2"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15"/>
    <col collapsed="false" customWidth="true" hidden="false" outlineLevel="0" max="4" min="4" style="0" width="7"/>
    <col collapsed="false" customWidth="true" hidden="false" outlineLevel="0" max="5" min="5" style="0" width="10"/>
    <col collapsed="false" customWidth="true" hidden="false" outlineLevel="0" max="7" min="6" style="0" width="12"/>
  </cols>
  <sheetData>
    <row r="1" customFormat="false" ht="31.5" hidden="false" customHeight="true" outlineLevel="0" collapsed="false">
      <c r="A1" s="1" t="s">
        <v>231</v>
      </c>
      <c r="B1" s="1" t="s">
        <v>232</v>
      </c>
      <c r="C1" s="1" t="s">
        <v>233</v>
      </c>
      <c r="D1" s="1" t="s">
        <v>234</v>
      </c>
      <c r="E1" s="1" t="s">
        <v>235</v>
      </c>
      <c r="F1" s="1" t="s">
        <v>236</v>
      </c>
      <c r="G1" s="1" t="s">
        <v>237</v>
      </c>
    </row>
    <row r="2" customFormat="false" ht="15" hidden="false" customHeight="false" outlineLevel="0" collapsed="false">
      <c r="A2" s="2" t="s">
        <v>77</v>
      </c>
      <c r="B2" s="2" t="s">
        <v>238</v>
      </c>
      <c r="C2" s="2" t="s">
        <v>239</v>
      </c>
      <c r="D2" s="2" t="n">
        <v>2001</v>
      </c>
      <c r="E2" s="3" t="n">
        <v>21</v>
      </c>
      <c r="F2" s="4" t="n">
        <v>-71.7024575</v>
      </c>
      <c r="G2" s="4" t="n">
        <v>12.4761172</v>
      </c>
    </row>
    <row r="3" customFormat="false" ht="15" hidden="false" customHeight="false" outlineLevel="0" collapsed="false">
      <c r="A3" s="2" t="s">
        <v>79</v>
      </c>
      <c r="B3" s="2" t="s">
        <v>240</v>
      </c>
      <c r="C3" s="2" t="s">
        <v>239</v>
      </c>
      <c r="D3" s="2" t="n">
        <v>2001</v>
      </c>
      <c r="E3" s="3" t="n">
        <v>72.5</v>
      </c>
      <c r="F3" s="4" t="n">
        <v>-71.7294447</v>
      </c>
      <c r="G3" s="4" t="n">
        <v>12.49204</v>
      </c>
    </row>
    <row r="4" customFormat="false" ht="15" hidden="false" customHeight="false" outlineLevel="0" collapsed="false">
      <c r="A4" s="2" t="s">
        <v>80</v>
      </c>
      <c r="B4" s="2" t="s">
        <v>241</v>
      </c>
      <c r="C4" s="2" t="s">
        <v>239</v>
      </c>
      <c r="D4" s="2" t="n">
        <v>2001</v>
      </c>
      <c r="E4" s="3" t="n">
        <v>70</v>
      </c>
      <c r="F4" s="4" t="n">
        <v>-72.6382015</v>
      </c>
      <c r="G4" s="4" t="n">
        <v>12.0556812</v>
      </c>
    </row>
    <row r="5" customFormat="false" ht="15" hidden="false" customHeight="false" outlineLevel="0" collapsed="false">
      <c r="A5" s="2" t="s">
        <v>81</v>
      </c>
      <c r="B5" s="2" t="s">
        <v>242</v>
      </c>
      <c r="C5" s="2" t="s">
        <v>239</v>
      </c>
      <c r="D5" s="2" t="n">
        <v>2001</v>
      </c>
      <c r="E5" s="3" t="n">
        <v>21.5</v>
      </c>
      <c r="F5" s="4" t="n">
        <v>-72.6157198</v>
      </c>
      <c r="G5" s="4" t="n">
        <v>11.8871772</v>
      </c>
    </row>
    <row r="6" customFormat="false" ht="15" hidden="false" customHeight="false" outlineLevel="0" collapsed="false">
      <c r="A6" s="2" t="s">
        <v>82</v>
      </c>
      <c r="B6" s="2" t="s">
        <v>243</v>
      </c>
      <c r="C6" s="2" t="s">
        <v>239</v>
      </c>
      <c r="D6" s="2" t="n">
        <v>2001</v>
      </c>
      <c r="E6" s="3" t="n">
        <v>71</v>
      </c>
      <c r="F6" s="4" t="n">
        <v>-73.4694448</v>
      </c>
      <c r="G6" s="4" t="n">
        <v>11.4037113</v>
      </c>
    </row>
    <row r="7" customFormat="false" ht="15" hidden="false" customHeight="false" outlineLevel="0" collapsed="false">
      <c r="A7" s="2" t="s">
        <v>83</v>
      </c>
      <c r="B7" s="2" t="s">
        <v>244</v>
      </c>
      <c r="C7" s="2" t="s">
        <v>239</v>
      </c>
      <c r="D7" s="2" t="n">
        <v>2001</v>
      </c>
      <c r="E7" s="3" t="n">
        <v>20.5</v>
      </c>
      <c r="F7" s="4" t="n">
        <v>-73.4590935</v>
      </c>
      <c r="G7" s="4" t="n">
        <v>11.2934408</v>
      </c>
    </row>
    <row r="8" customFormat="false" ht="15" hidden="false" customHeight="false" outlineLevel="0" collapsed="false">
      <c r="A8" s="2" t="s">
        <v>84</v>
      </c>
      <c r="B8" s="2" t="s">
        <v>245</v>
      </c>
      <c r="C8" s="2" t="s">
        <v>239</v>
      </c>
      <c r="D8" s="2" t="n">
        <v>2001</v>
      </c>
      <c r="E8" s="3" t="n">
        <v>70.5</v>
      </c>
      <c r="F8" s="4" t="n">
        <v>-73.777617</v>
      </c>
      <c r="G8" s="4" t="n">
        <v>11.3081847</v>
      </c>
    </row>
    <row r="9" customFormat="false" ht="15" hidden="false" customHeight="false" outlineLevel="0" collapsed="false">
      <c r="A9" s="2" t="s">
        <v>85</v>
      </c>
      <c r="B9" s="2" t="s">
        <v>246</v>
      </c>
      <c r="C9" s="2" t="s">
        <v>239</v>
      </c>
      <c r="D9" s="2" t="n">
        <v>2001</v>
      </c>
      <c r="E9" s="3" t="n">
        <v>27.5</v>
      </c>
      <c r="F9" s="4" t="n">
        <v>-74.0907171</v>
      </c>
      <c r="G9" s="4" t="n">
        <v>11.3375781</v>
      </c>
    </row>
    <row r="10" customFormat="false" ht="15" hidden="false" customHeight="false" outlineLevel="0" collapsed="false">
      <c r="A10" s="2" t="s">
        <v>86</v>
      </c>
      <c r="B10" s="2" t="s">
        <v>247</v>
      </c>
      <c r="C10" s="2" t="s">
        <v>239</v>
      </c>
      <c r="D10" s="2" t="n">
        <v>2001</v>
      </c>
      <c r="E10" s="3" t="n">
        <v>75</v>
      </c>
      <c r="F10" s="4" t="n">
        <v>-74.1054166</v>
      </c>
      <c r="G10" s="4" t="n">
        <v>11.357372</v>
      </c>
    </row>
    <row r="11" customFormat="false" ht="15" hidden="false" customHeight="false" outlineLevel="0" collapsed="false">
      <c r="A11" s="2" t="s">
        <v>87</v>
      </c>
      <c r="B11" s="2" t="s">
        <v>248</v>
      </c>
      <c r="C11" s="2" t="s">
        <v>239</v>
      </c>
      <c r="D11" s="2" t="n">
        <v>2001</v>
      </c>
      <c r="E11" s="3" t="n">
        <v>72</v>
      </c>
      <c r="F11" s="4" t="n">
        <v>-74.177222</v>
      </c>
      <c r="G11" s="4" t="n">
        <v>11.342222</v>
      </c>
    </row>
    <row r="12" customFormat="false" ht="15" hidden="false" customHeight="false" outlineLevel="0" collapsed="false">
      <c r="A12" s="2" t="s">
        <v>88</v>
      </c>
      <c r="B12" s="2" t="s">
        <v>249</v>
      </c>
      <c r="C12" s="2" t="s">
        <v>239</v>
      </c>
      <c r="D12" s="2" t="n">
        <v>2001</v>
      </c>
      <c r="E12" s="3" t="n">
        <v>32.5</v>
      </c>
      <c r="F12" s="4" t="n">
        <v>-74.1650656</v>
      </c>
      <c r="G12" s="4" t="n">
        <v>11.3047697</v>
      </c>
    </row>
    <row r="13" customFormat="false" ht="15" hidden="false" customHeight="false" outlineLevel="0" collapsed="false">
      <c r="A13" s="2" t="s">
        <v>89</v>
      </c>
      <c r="B13" s="2" t="s">
        <v>250</v>
      </c>
      <c r="C13" s="2" t="s">
        <v>239</v>
      </c>
      <c r="D13" s="2" t="n">
        <v>2001</v>
      </c>
      <c r="E13" s="3" t="n">
        <v>20</v>
      </c>
      <c r="F13" s="4" t="n">
        <v>-74.6767842</v>
      </c>
      <c r="G13" s="4" t="n">
        <v>11.0978677</v>
      </c>
    </row>
    <row r="14" customFormat="false" ht="15" hidden="false" customHeight="false" outlineLevel="0" collapsed="false">
      <c r="A14" s="2" t="s">
        <v>91</v>
      </c>
      <c r="B14" s="2" t="s">
        <v>251</v>
      </c>
      <c r="C14" s="2" t="s">
        <v>239</v>
      </c>
      <c r="D14" s="2" t="n">
        <v>2001</v>
      </c>
      <c r="E14" s="3" t="n">
        <v>70</v>
      </c>
      <c r="F14" s="4" t="n">
        <v>-74.6925972</v>
      </c>
      <c r="G14" s="4" t="n">
        <v>11.1520329</v>
      </c>
    </row>
    <row r="15" customFormat="false" ht="15" hidden="false" customHeight="false" outlineLevel="0" collapsed="false">
      <c r="A15" s="2" t="s">
        <v>92</v>
      </c>
      <c r="B15" s="2" t="s">
        <v>252</v>
      </c>
      <c r="C15" s="2" t="s">
        <v>239</v>
      </c>
      <c r="D15" s="2" t="n">
        <v>2001</v>
      </c>
      <c r="E15" s="3" t="n">
        <v>20.5</v>
      </c>
      <c r="F15" s="4" t="n">
        <v>-75.1089601</v>
      </c>
      <c r="G15" s="4" t="n">
        <v>10.9419076</v>
      </c>
    </row>
    <row r="16" customFormat="false" ht="15" hidden="false" customHeight="false" outlineLevel="0" collapsed="false">
      <c r="A16" s="2" t="s">
        <v>93</v>
      </c>
      <c r="B16" s="2" t="s">
        <v>253</v>
      </c>
      <c r="C16" s="2" t="s">
        <v>239</v>
      </c>
      <c r="D16" s="2" t="n">
        <v>2001</v>
      </c>
      <c r="E16" s="3" t="n">
        <v>71</v>
      </c>
      <c r="F16" s="4" t="n">
        <v>-75.1436551</v>
      </c>
      <c r="G16" s="4" t="n">
        <v>11.018355</v>
      </c>
    </row>
    <row r="17" customFormat="false" ht="15" hidden="false" customHeight="false" outlineLevel="0" collapsed="false">
      <c r="A17" s="2" t="s">
        <v>94</v>
      </c>
      <c r="B17" s="2" t="s">
        <v>254</v>
      </c>
      <c r="C17" s="2" t="s">
        <v>239</v>
      </c>
      <c r="D17" s="2" t="n">
        <v>2001</v>
      </c>
      <c r="E17" s="3" t="n">
        <v>67</v>
      </c>
      <c r="F17" s="4" t="n">
        <v>-75.7812413</v>
      </c>
      <c r="G17" s="4" t="n">
        <v>10.0009468</v>
      </c>
    </row>
    <row r="18" customFormat="false" ht="15" hidden="false" customHeight="false" outlineLevel="0" collapsed="false">
      <c r="A18" s="2" t="s">
        <v>96</v>
      </c>
      <c r="B18" s="2" t="s">
        <v>255</v>
      </c>
      <c r="C18" s="2" t="s">
        <v>239</v>
      </c>
      <c r="D18" s="2" t="n">
        <v>2001</v>
      </c>
      <c r="E18" s="3" t="n">
        <v>89</v>
      </c>
      <c r="F18" s="4" t="n">
        <v>-76.1068006</v>
      </c>
      <c r="G18" s="4" t="n">
        <v>9.69706788554027</v>
      </c>
    </row>
    <row r="19" customFormat="false" ht="15" hidden="false" customHeight="false" outlineLevel="0" collapsed="false">
      <c r="A19" s="2" t="s">
        <v>97</v>
      </c>
      <c r="B19" s="2" t="s">
        <v>256</v>
      </c>
      <c r="C19" s="2" t="s">
        <v>239</v>
      </c>
      <c r="D19" s="2" t="n">
        <v>2001</v>
      </c>
      <c r="E19" s="3" t="n">
        <v>22</v>
      </c>
      <c r="F19" s="4" t="n">
        <v>-75.6805126</v>
      </c>
      <c r="G19" s="4" t="n">
        <v>9.55352884321649</v>
      </c>
    </row>
    <row r="20" customFormat="false" ht="15" hidden="false" customHeight="false" outlineLevel="0" collapsed="false">
      <c r="A20" s="2" t="s">
        <v>98</v>
      </c>
      <c r="B20" s="2" t="s">
        <v>257</v>
      </c>
      <c r="C20" s="2" t="s">
        <v>239</v>
      </c>
      <c r="D20" s="2" t="n">
        <v>2001</v>
      </c>
      <c r="E20" s="3" t="n">
        <v>75.8</v>
      </c>
      <c r="F20" s="4" t="n">
        <v>-76.5696034</v>
      </c>
      <c r="G20" s="4" t="n">
        <v>9.02219265966503</v>
      </c>
    </row>
    <row r="21" customFormat="false" ht="15" hidden="false" customHeight="false" outlineLevel="0" collapsed="false">
      <c r="A21" s="2" t="s">
        <v>99</v>
      </c>
      <c r="B21" s="2" t="s">
        <v>258</v>
      </c>
      <c r="C21" s="2" t="s">
        <v>239</v>
      </c>
      <c r="D21" s="2" t="n">
        <v>2001</v>
      </c>
      <c r="E21" s="3" t="n">
        <v>20.4</v>
      </c>
      <c r="F21" s="4" t="n">
        <v>-76.4640415</v>
      </c>
      <c r="G21" s="4" t="n">
        <v>8.98287515211329</v>
      </c>
    </row>
    <row r="22" customFormat="false" ht="15" hidden="false" customHeight="false" outlineLevel="0" collapsed="false">
      <c r="A22" s="2" t="s">
        <v>100</v>
      </c>
      <c r="B22" s="2" t="s">
        <v>259</v>
      </c>
      <c r="C22" s="2" t="s">
        <v>239</v>
      </c>
      <c r="D22" s="2" t="n">
        <v>2001</v>
      </c>
      <c r="E22" s="3" t="n">
        <v>19.5</v>
      </c>
      <c r="F22" s="4" t="n">
        <v>-76.3725672</v>
      </c>
      <c r="G22" s="4" t="n">
        <v>9.06890420296697</v>
      </c>
    </row>
    <row r="23" customFormat="false" ht="15" hidden="false" customHeight="false" outlineLevel="0" collapsed="false">
      <c r="A23" s="2" t="s">
        <v>101</v>
      </c>
      <c r="B23" s="2" t="s">
        <v>260</v>
      </c>
      <c r="C23" s="2" t="s">
        <v>239</v>
      </c>
      <c r="D23" s="2" t="n">
        <v>2001</v>
      </c>
      <c r="E23" s="3" t="n">
        <v>20</v>
      </c>
      <c r="F23" s="4" t="n">
        <v>-75.7111617</v>
      </c>
      <c r="G23" s="4" t="n">
        <v>9.77540207813823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10"/>
    <col collapsed="false" customWidth="true" hidden="false" outlineLevel="0" max="6" min="4" style="0" width="12"/>
    <col collapsed="false" customWidth="true" hidden="false" outlineLevel="0" max="8" min="7" style="0" width="10"/>
    <col collapsed="false" customWidth="true" hidden="false" outlineLevel="0" max="13" min="9" style="0" width="9"/>
  </cols>
  <sheetData>
    <row r="1" customFormat="false" ht="31.5" hidden="false" customHeight="true" outlineLevel="0" collapsed="false">
      <c r="A1" s="1" t="s">
        <v>0</v>
      </c>
      <c r="B1" s="1" t="s">
        <v>261</v>
      </c>
      <c r="C1" s="1" t="s">
        <v>262</v>
      </c>
      <c r="D1" s="1" t="s">
        <v>263</v>
      </c>
      <c r="E1" s="1" t="s">
        <v>236</v>
      </c>
      <c r="F1" s="1" t="s">
        <v>237</v>
      </c>
      <c r="G1" s="1" t="s">
        <v>235</v>
      </c>
      <c r="H1" s="1" t="s">
        <v>264</v>
      </c>
      <c r="I1" s="1" t="s">
        <v>265</v>
      </c>
      <c r="J1" s="1" t="s">
        <v>266</v>
      </c>
      <c r="K1" s="1" t="s">
        <v>267</v>
      </c>
      <c r="L1" s="1" t="s">
        <v>268</v>
      </c>
      <c r="M1" s="1" t="s">
        <v>269</v>
      </c>
    </row>
    <row r="2" customFormat="false" ht="15" hidden="false" customHeight="false" outlineLevel="0" collapsed="false">
      <c r="A2" s="2" t="s">
        <v>77</v>
      </c>
      <c r="B2" s="2" t="s">
        <v>78</v>
      </c>
      <c r="C2" s="2" t="s">
        <v>270</v>
      </c>
      <c r="D2" s="2" t="s">
        <v>271</v>
      </c>
      <c r="E2" s="4" t="n">
        <v>-71.7024575</v>
      </c>
      <c r="F2" s="4" t="n">
        <v>12.4761172</v>
      </c>
      <c r="G2" s="3" t="n">
        <v>21</v>
      </c>
      <c r="H2" s="3" t="n">
        <v>18.1</v>
      </c>
      <c r="I2" s="5" t="n">
        <v>25.2747</v>
      </c>
      <c r="J2" s="5" t="n">
        <v>36.80706</v>
      </c>
      <c r="K2" s="5" t="n">
        <v>24.71349</v>
      </c>
      <c r="L2" s="5" t="n">
        <v>6.983818</v>
      </c>
      <c r="M2" s="6" t="n">
        <v>0.5</v>
      </c>
    </row>
    <row r="3" customFormat="false" ht="15" hidden="false" customHeight="false" outlineLevel="0" collapsed="false">
      <c r="A3" s="2" t="s">
        <v>79</v>
      </c>
      <c r="B3" s="2" t="s">
        <v>78</v>
      </c>
      <c r="C3" s="2" t="s">
        <v>270</v>
      </c>
      <c r="D3" s="2" t="s">
        <v>272</v>
      </c>
      <c r="E3" s="4" t="n">
        <v>-71.7294447</v>
      </c>
      <c r="F3" s="4" t="n">
        <v>12.49204</v>
      </c>
      <c r="G3" s="3" t="n">
        <v>72.5</v>
      </c>
      <c r="H3" s="3" t="n">
        <v>14.7</v>
      </c>
      <c r="I3" s="5" t="n">
        <v>22.92017</v>
      </c>
      <c r="J3" s="5" t="n">
        <v>36.8465</v>
      </c>
      <c r="K3" s="5" t="n">
        <v>25.66913</v>
      </c>
      <c r="L3" s="5" t="n">
        <v>5.881363</v>
      </c>
      <c r="M3" s="6" t="n">
        <v>0.3090909</v>
      </c>
    </row>
    <row r="4" customFormat="false" ht="15" hidden="false" customHeight="false" outlineLevel="0" collapsed="false">
      <c r="A4" s="2" t="s">
        <v>80</v>
      </c>
      <c r="B4" s="2" t="s">
        <v>78</v>
      </c>
      <c r="C4" s="2" t="s">
        <v>270</v>
      </c>
      <c r="D4" s="2" t="s">
        <v>272</v>
      </c>
      <c r="E4" s="4" t="n">
        <v>-72.6382015</v>
      </c>
      <c r="F4" s="4" t="n">
        <v>12.0556812</v>
      </c>
      <c r="G4" s="3" t="n">
        <v>70</v>
      </c>
      <c r="H4" s="3" t="n">
        <v>229.5</v>
      </c>
      <c r="I4" s="5" t="n">
        <v>24.442611</v>
      </c>
      <c r="J4" s="5" t="n">
        <v>36.755939</v>
      </c>
      <c r="K4" s="5" t="n">
        <v>25.139944</v>
      </c>
      <c r="L4" s="5" t="n">
        <v>6.1338889</v>
      </c>
      <c r="M4" s="6" t="n">
        <v>0.34545455</v>
      </c>
    </row>
    <row r="5" customFormat="false" ht="15" hidden="false" customHeight="false" outlineLevel="0" collapsed="false">
      <c r="A5" s="2" t="s">
        <v>81</v>
      </c>
      <c r="B5" s="2" t="s">
        <v>78</v>
      </c>
      <c r="C5" s="2" t="s">
        <v>270</v>
      </c>
      <c r="D5" s="2" t="s">
        <v>271</v>
      </c>
      <c r="E5" s="4" t="n">
        <v>-72.6157198</v>
      </c>
      <c r="F5" s="4" t="n">
        <v>11.8871772</v>
      </c>
      <c r="G5" s="3" t="n">
        <v>21.5</v>
      </c>
      <c r="H5" s="3" t="n">
        <v>248.4</v>
      </c>
      <c r="I5" s="5" t="n">
        <v>25.783833</v>
      </c>
      <c r="J5" s="5" t="n">
        <v>36.744591</v>
      </c>
      <c r="K5" s="5" t="n">
        <v>24.508148</v>
      </c>
      <c r="L5" s="5" t="n">
        <v>6.9725</v>
      </c>
      <c r="M5" s="6" t="n">
        <v>0.2</v>
      </c>
    </row>
    <row r="6" customFormat="false" ht="15" hidden="false" customHeight="false" outlineLevel="0" collapsed="false">
      <c r="A6" s="2" t="s">
        <v>82</v>
      </c>
      <c r="B6" s="2" t="s">
        <v>78</v>
      </c>
      <c r="C6" s="2" t="s">
        <v>273</v>
      </c>
      <c r="D6" s="2" t="s">
        <v>272</v>
      </c>
      <c r="E6" s="4" t="n">
        <v>-73.4694448</v>
      </c>
      <c r="F6" s="4" t="n">
        <v>11.4037113</v>
      </c>
      <c r="G6" s="3" t="n">
        <v>71</v>
      </c>
      <c r="H6" s="3" t="n">
        <v>387.3</v>
      </c>
      <c r="I6" s="5" t="n">
        <v>24.7206</v>
      </c>
      <c r="J6" s="5" t="n">
        <v>36.704709</v>
      </c>
      <c r="K6" s="5" t="n">
        <v>25.021043</v>
      </c>
      <c r="L6" s="5" t="n">
        <v>6.11</v>
      </c>
      <c r="M6" s="6" t="n">
        <v>0.33</v>
      </c>
    </row>
    <row r="7" customFormat="false" ht="15" hidden="false" customHeight="false" outlineLevel="0" collapsed="false">
      <c r="A7" s="2" t="s">
        <v>83</v>
      </c>
      <c r="B7" s="2" t="s">
        <v>78</v>
      </c>
      <c r="C7" s="2" t="s">
        <v>273</v>
      </c>
      <c r="D7" s="2" t="s">
        <v>271</v>
      </c>
      <c r="E7" s="4" t="n">
        <v>-73.4590935</v>
      </c>
      <c r="F7" s="4" t="n">
        <v>11.2934408</v>
      </c>
      <c r="G7" s="3" t="n">
        <v>20.5</v>
      </c>
      <c r="H7" s="3" t="n">
        <v>375.1</v>
      </c>
      <c r="I7" s="5" t="n">
        <v>25.911458</v>
      </c>
      <c r="J7" s="5" t="n">
        <v>36.609477</v>
      </c>
      <c r="K7" s="5" t="n">
        <v>24.361868</v>
      </c>
      <c r="L7" s="5" t="n">
        <v>6.79875</v>
      </c>
      <c r="M7" s="6" t="n">
        <v>0.275</v>
      </c>
    </row>
    <row r="8" customFormat="false" ht="15" hidden="false" customHeight="false" outlineLevel="0" collapsed="false">
      <c r="A8" s="2" t="s">
        <v>84</v>
      </c>
      <c r="B8" s="2" t="s">
        <v>78</v>
      </c>
      <c r="C8" s="2" t="s">
        <v>273</v>
      </c>
      <c r="D8" s="2" t="s">
        <v>272</v>
      </c>
      <c r="E8" s="4" t="n">
        <v>-73.777617</v>
      </c>
      <c r="F8" s="4" t="n">
        <v>11.3081847</v>
      </c>
      <c r="G8" s="3" t="n">
        <v>70.5</v>
      </c>
      <c r="H8" s="3" t="n">
        <v>460.6</v>
      </c>
      <c r="I8" s="5" t="n">
        <v>24.724958</v>
      </c>
      <c r="J8" s="5" t="n">
        <v>36.705545</v>
      </c>
      <c r="K8" s="5" t="n">
        <v>25.016047</v>
      </c>
      <c r="L8" s="5" t="n">
        <v>6.12</v>
      </c>
      <c r="M8" s="6" t="n">
        <v>0.3125</v>
      </c>
    </row>
    <row r="9" customFormat="false" ht="15" hidden="false" customHeight="false" outlineLevel="0" collapsed="false">
      <c r="A9" s="2" t="s">
        <v>85</v>
      </c>
      <c r="B9" s="2" t="s">
        <v>78</v>
      </c>
      <c r="C9" s="2" t="s">
        <v>265</v>
      </c>
      <c r="D9" s="2" t="s">
        <v>271</v>
      </c>
      <c r="E9" s="4" t="n">
        <v>-74.0907171</v>
      </c>
      <c r="F9" s="4" t="n">
        <v>11.3375781</v>
      </c>
      <c r="G9" s="3" t="n">
        <v>27.5</v>
      </c>
      <c r="H9" s="3" t="n">
        <v>505.9</v>
      </c>
      <c r="I9" s="5" t="n">
        <v>26.57025</v>
      </c>
      <c r="J9" s="5" t="n">
        <v>36.368659</v>
      </c>
      <c r="K9" s="5" t="n">
        <v>24.002197</v>
      </c>
      <c r="L9" s="5" t="n">
        <v>6.9441667</v>
      </c>
      <c r="M9" s="6" t="n">
        <v>0.37272727</v>
      </c>
    </row>
    <row r="10" customFormat="false" ht="15" hidden="false" customHeight="false" outlineLevel="0" collapsed="false">
      <c r="A10" s="2" t="s">
        <v>86</v>
      </c>
      <c r="B10" s="2" t="s">
        <v>78</v>
      </c>
      <c r="C10" s="2" t="s">
        <v>265</v>
      </c>
      <c r="D10" s="2" t="s">
        <v>272</v>
      </c>
      <c r="E10" s="4" t="n">
        <v>-74.1054166</v>
      </c>
      <c r="F10" s="4" t="n">
        <v>11.357372</v>
      </c>
      <c r="G10" s="3" t="n">
        <v>75</v>
      </c>
      <c r="H10" s="3" t="n">
        <v>508.6</v>
      </c>
      <c r="I10" s="5" t="n">
        <v>24.596583</v>
      </c>
      <c r="J10" s="5" t="n">
        <v>36.68575</v>
      </c>
      <c r="K10" s="5" t="n">
        <v>25.061643</v>
      </c>
      <c r="L10" s="5" t="n">
        <v>6.2545833</v>
      </c>
      <c r="M10" s="6" t="n">
        <v>0.27727273</v>
      </c>
    </row>
    <row r="11" customFormat="false" ht="15" hidden="false" customHeight="false" outlineLevel="0" collapsed="false">
      <c r="A11" s="2" t="s">
        <v>87</v>
      </c>
      <c r="B11" s="2" t="s">
        <v>78</v>
      </c>
      <c r="C11" s="2" t="s">
        <v>265</v>
      </c>
      <c r="D11" s="2" t="s">
        <v>272</v>
      </c>
      <c r="E11" s="4" t="n">
        <v>-74.177222</v>
      </c>
      <c r="F11" s="4" t="n">
        <v>11.342222</v>
      </c>
      <c r="G11" s="3" t="n">
        <v>72</v>
      </c>
      <c r="H11" s="3" t="n">
        <v>542.2</v>
      </c>
      <c r="I11" s="5" t="n">
        <v>24.984542</v>
      </c>
      <c r="J11" s="5" t="n">
        <v>36.667068</v>
      </c>
      <c r="K11" s="5" t="n">
        <v>24.916165</v>
      </c>
      <c r="L11" s="5" t="n">
        <v>6.4025</v>
      </c>
      <c r="M11" s="6" t="n">
        <v>0.36136364</v>
      </c>
    </row>
    <row r="12" customFormat="false" ht="15" hidden="false" customHeight="false" outlineLevel="0" collapsed="false">
      <c r="A12" s="2" t="s">
        <v>88</v>
      </c>
      <c r="B12" s="2" t="s">
        <v>78</v>
      </c>
      <c r="C12" s="2" t="s">
        <v>265</v>
      </c>
      <c r="D12" s="2" t="s">
        <v>271</v>
      </c>
      <c r="E12" s="4" t="n">
        <v>-74.1650656</v>
      </c>
      <c r="F12" s="4" t="n">
        <v>11.3047697</v>
      </c>
      <c r="G12" s="3" t="n">
        <v>32.5</v>
      </c>
      <c r="H12" s="3" t="n">
        <v>545.9</v>
      </c>
      <c r="I12" s="5" t="n">
        <v>26.548042</v>
      </c>
      <c r="J12" s="5" t="n">
        <v>36.383068</v>
      </c>
      <c r="K12" s="5" t="n">
        <v>24.041571</v>
      </c>
      <c r="L12" s="5" t="n">
        <v>6.9425</v>
      </c>
      <c r="M12" s="6" t="n">
        <v>0.4</v>
      </c>
    </row>
    <row r="13" customFormat="false" ht="15" hidden="false" customHeight="false" outlineLevel="0" collapsed="false">
      <c r="A13" s="2" t="s">
        <v>89</v>
      </c>
      <c r="B13" s="2" t="s">
        <v>90</v>
      </c>
      <c r="C13" s="2" t="s">
        <v>90</v>
      </c>
      <c r="D13" s="2" t="s">
        <v>271</v>
      </c>
      <c r="E13" s="4" t="n">
        <v>-74.6767842</v>
      </c>
      <c r="F13" s="4" t="n">
        <v>11.0978677</v>
      </c>
      <c r="G13" s="3" t="n">
        <v>20</v>
      </c>
      <c r="H13" s="3" t="n">
        <v>652.1</v>
      </c>
      <c r="I13" s="5" t="n">
        <v>26.726458</v>
      </c>
      <c r="J13" s="5" t="n">
        <v>36.35425</v>
      </c>
      <c r="K13" s="5" t="n">
        <v>23.911544</v>
      </c>
      <c r="L13" s="5" t="n">
        <v>6.8816667</v>
      </c>
      <c r="M13" s="6" t="n">
        <v>0.2</v>
      </c>
    </row>
    <row r="14" customFormat="false" ht="15" hidden="false" customHeight="false" outlineLevel="0" collapsed="false">
      <c r="A14" s="2" t="s">
        <v>91</v>
      </c>
      <c r="B14" s="2" t="s">
        <v>90</v>
      </c>
      <c r="C14" s="2" t="s">
        <v>90</v>
      </c>
      <c r="D14" s="2" t="s">
        <v>272</v>
      </c>
      <c r="E14" s="4" t="n">
        <v>-74.6925972</v>
      </c>
      <c r="F14" s="4" t="n">
        <v>11.1520329</v>
      </c>
      <c r="G14" s="3" t="n">
        <v>70</v>
      </c>
      <c r="H14" s="3" t="n">
        <v>658.3</v>
      </c>
      <c r="I14" s="5" t="n">
        <v>25.509033</v>
      </c>
      <c r="J14" s="5" t="n">
        <v>36.681182</v>
      </c>
      <c r="K14" s="5" t="n">
        <v>24.756286</v>
      </c>
      <c r="L14" s="5" t="n">
        <v>6.8413333</v>
      </c>
      <c r="M14" s="6" t="n">
        <v>0.2</v>
      </c>
    </row>
    <row r="15" customFormat="false" ht="15" hidden="false" customHeight="false" outlineLevel="0" collapsed="false">
      <c r="A15" s="2" t="s">
        <v>92</v>
      </c>
      <c r="B15" s="2" t="s">
        <v>90</v>
      </c>
      <c r="C15" s="2" t="s">
        <v>90</v>
      </c>
      <c r="D15" s="2" t="s">
        <v>271</v>
      </c>
      <c r="E15" s="4" t="n">
        <v>-75.1089601</v>
      </c>
      <c r="F15" s="4" t="n">
        <v>10.9419076</v>
      </c>
      <c r="G15" s="3" t="n">
        <v>20.5</v>
      </c>
      <c r="H15" s="3" t="n">
        <v>727.5</v>
      </c>
      <c r="I15" s="5" t="n">
        <v>28.318625</v>
      </c>
      <c r="J15" s="5" t="n">
        <v>35.942432</v>
      </c>
      <c r="K15" s="5" t="n">
        <v>23.084246</v>
      </c>
      <c r="L15" s="5" t="n">
        <v>6.9395833</v>
      </c>
      <c r="M15" s="6" t="n">
        <v>0.1</v>
      </c>
    </row>
    <row r="16" customFormat="false" ht="15" hidden="false" customHeight="false" outlineLevel="0" collapsed="false">
      <c r="A16" s="2" t="s">
        <v>93</v>
      </c>
      <c r="B16" s="2" t="s">
        <v>90</v>
      </c>
      <c r="C16" s="2" t="s">
        <v>90</v>
      </c>
      <c r="D16" s="2" t="s">
        <v>272</v>
      </c>
      <c r="E16" s="4" t="n">
        <v>-75.1436551</v>
      </c>
      <c r="F16" s="4" t="n">
        <v>11.018355</v>
      </c>
      <c r="G16" s="3" t="n">
        <v>71</v>
      </c>
      <c r="H16" s="3" t="n">
        <v>736.8</v>
      </c>
      <c r="I16" s="5" t="n">
        <v>25.731625</v>
      </c>
      <c r="J16" s="5" t="n">
        <v>36.588795</v>
      </c>
      <c r="K16" s="5" t="n">
        <v>24.621443</v>
      </c>
      <c r="L16" s="5" t="n">
        <v>6.90875</v>
      </c>
      <c r="M16" s="6" t="n">
        <v>0.5</v>
      </c>
    </row>
    <row r="17" customFormat="false" ht="15" hidden="false" customHeight="false" outlineLevel="0" collapsed="false">
      <c r="A17" s="2" t="s">
        <v>94</v>
      </c>
      <c r="B17" s="2" t="s">
        <v>95</v>
      </c>
      <c r="C17" s="2" t="s">
        <v>274</v>
      </c>
      <c r="D17" s="2" t="s">
        <v>272</v>
      </c>
      <c r="E17" s="4" t="n">
        <v>-75.7812413</v>
      </c>
      <c r="F17" s="4" t="n">
        <v>10.0009468</v>
      </c>
      <c r="G17" s="3" t="n">
        <v>67</v>
      </c>
      <c r="H17" s="3" t="n">
        <v>1017.9</v>
      </c>
      <c r="I17" s="5" t="n">
        <v>26.119389</v>
      </c>
      <c r="J17" s="5" t="n">
        <v>36.597182</v>
      </c>
      <c r="K17" s="5" t="n">
        <v>24.488922</v>
      </c>
      <c r="L17" s="5" t="n">
        <v>7.0722222</v>
      </c>
      <c r="M17" s="6" t="n">
        <v>0.3</v>
      </c>
    </row>
    <row r="18" customFormat="false" ht="15" hidden="false" customHeight="false" outlineLevel="0" collapsed="false">
      <c r="A18" s="2" t="s">
        <v>96</v>
      </c>
      <c r="B18" s="2" t="s">
        <v>95</v>
      </c>
      <c r="C18" s="2" t="s">
        <v>274</v>
      </c>
      <c r="D18" s="2" t="s">
        <v>272</v>
      </c>
      <c r="E18" s="4" t="n">
        <v>-76.1068006</v>
      </c>
      <c r="F18" s="4" t="n">
        <v>9.69706788554027</v>
      </c>
      <c r="G18" s="3" t="n">
        <v>89</v>
      </c>
      <c r="H18" s="3" t="n">
        <v>1134.6</v>
      </c>
      <c r="I18" s="5" t="n">
        <v>25.722333</v>
      </c>
      <c r="J18" s="5" t="n">
        <v>36.678527</v>
      </c>
      <c r="K18" s="5" t="n">
        <v>24.769334</v>
      </c>
      <c r="L18" s="5" t="n">
        <v>6.989</v>
      </c>
      <c r="M18" s="6" t="n">
        <v>0.31272727</v>
      </c>
    </row>
    <row r="19" customFormat="false" ht="15" hidden="false" customHeight="false" outlineLevel="0" collapsed="false">
      <c r="A19" s="2" t="s">
        <v>97</v>
      </c>
      <c r="B19" s="2" t="s">
        <v>95</v>
      </c>
      <c r="C19" s="2" t="s">
        <v>275</v>
      </c>
      <c r="D19" s="2" t="s">
        <v>271</v>
      </c>
      <c r="E19" s="4" t="n">
        <v>-75.6805126</v>
      </c>
      <c r="F19" s="4" t="n">
        <v>9.55352884321649</v>
      </c>
      <c r="G19" s="3" t="n">
        <v>22</v>
      </c>
      <c r="H19" s="3" t="n">
        <v>967.4</v>
      </c>
      <c r="I19" s="5" t="n">
        <v>28.817375</v>
      </c>
      <c r="J19" s="5" t="n">
        <v>36.013114</v>
      </c>
      <c r="K19" s="5" t="n">
        <v>22.980151</v>
      </c>
      <c r="L19" s="5" t="n">
        <v>6.87</v>
      </c>
      <c r="M19" s="6" t="n">
        <v>0.1</v>
      </c>
    </row>
    <row r="20" customFormat="false" ht="15" hidden="false" customHeight="false" outlineLevel="0" collapsed="false">
      <c r="A20" s="2" t="s">
        <v>98</v>
      </c>
      <c r="B20" s="2" t="s">
        <v>95</v>
      </c>
      <c r="C20" s="2" t="s">
        <v>276</v>
      </c>
      <c r="D20" s="2" t="s">
        <v>272</v>
      </c>
      <c r="E20" s="4" t="n">
        <v>-76.5696034</v>
      </c>
      <c r="F20" s="4" t="n">
        <v>9.02219265966503</v>
      </c>
      <c r="G20" s="3" t="n">
        <v>75.8</v>
      </c>
      <c r="H20" s="3" t="n">
        <v>1278</v>
      </c>
      <c r="I20" s="5" t="n">
        <v>25.754833</v>
      </c>
      <c r="J20" s="5" t="n">
        <v>36.594841</v>
      </c>
      <c r="K20" s="5" t="n">
        <v>24.640211</v>
      </c>
      <c r="L20" s="5" t="n">
        <v>6.7666667</v>
      </c>
      <c r="M20" s="6" t="n">
        <v>0.30681818</v>
      </c>
    </row>
    <row r="21" customFormat="false" ht="15" hidden="false" customHeight="false" outlineLevel="0" collapsed="false">
      <c r="A21" s="2" t="s">
        <v>99</v>
      </c>
      <c r="B21" s="2" t="s">
        <v>95</v>
      </c>
      <c r="C21" s="2" t="s">
        <v>276</v>
      </c>
      <c r="D21" s="2" t="s">
        <v>271</v>
      </c>
      <c r="E21" s="4" t="n">
        <v>-76.4640415</v>
      </c>
      <c r="F21" s="4" t="n">
        <v>8.98287515211329</v>
      </c>
      <c r="G21" s="3" t="n">
        <v>20.4</v>
      </c>
      <c r="H21" s="3" t="n">
        <v>1290.4</v>
      </c>
      <c r="I21" s="5" t="n">
        <v>25.754833</v>
      </c>
      <c r="J21" s="5" t="n">
        <v>36.594841</v>
      </c>
      <c r="K21" s="5" t="n">
        <v>24.640211</v>
      </c>
      <c r="L21" s="5" t="n">
        <v>6.7666667</v>
      </c>
      <c r="M21" s="6" t="n">
        <v>0.30681818</v>
      </c>
    </row>
    <row r="22" customFormat="false" ht="15" hidden="false" customHeight="false" outlineLevel="0" collapsed="false">
      <c r="A22" s="2" t="s">
        <v>100</v>
      </c>
      <c r="B22" s="2" t="s">
        <v>95</v>
      </c>
      <c r="C22" s="2" t="s">
        <v>276</v>
      </c>
      <c r="D22" s="2" t="s">
        <v>271</v>
      </c>
      <c r="E22" s="4" t="n">
        <v>-76.3725672</v>
      </c>
      <c r="F22" s="4" t="n">
        <v>9.06890420296697</v>
      </c>
      <c r="G22" s="3" t="n">
        <v>19.5</v>
      </c>
      <c r="H22" s="3" t="n">
        <v>1236.9</v>
      </c>
      <c r="I22" s="5" t="n">
        <v>28.457958</v>
      </c>
      <c r="J22" s="5" t="n">
        <v>35.970545</v>
      </c>
      <c r="K22" s="5" t="n">
        <v>23.054985</v>
      </c>
      <c r="L22" s="5" t="n">
        <v>6.8279167</v>
      </c>
      <c r="M22" s="6" t="n">
        <v>0.19318182</v>
      </c>
    </row>
    <row r="23" customFormat="false" ht="15" hidden="false" customHeight="false" outlineLevel="0" collapsed="false">
      <c r="A23" s="2" t="s">
        <v>101</v>
      </c>
      <c r="B23" s="2" t="s">
        <v>95</v>
      </c>
      <c r="C23" s="2" t="s">
        <v>275</v>
      </c>
      <c r="D23" s="2" t="s">
        <v>271</v>
      </c>
      <c r="E23" s="4" t="n">
        <v>-75.7111617</v>
      </c>
      <c r="F23" s="4" t="n">
        <v>9.77540207813823</v>
      </c>
      <c r="G23" s="3" t="n">
        <v>20</v>
      </c>
      <c r="H23" s="3" t="n">
        <v>942.6</v>
      </c>
      <c r="I23" s="5" t="n">
        <v>28.852625</v>
      </c>
      <c r="J23" s="5" t="n">
        <v>36.003318</v>
      </c>
      <c r="K23" s="5" t="n">
        <v>22.95246</v>
      </c>
      <c r="L23" s="5" t="n">
        <v>6.8529167</v>
      </c>
      <c r="M23" s="6" t="n">
        <v>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
    <col collapsed="false" customWidth="true" hidden="false" outlineLevel="0" max="3" min="3" style="0" width="12"/>
    <col collapsed="false" customWidth="true" hidden="false" outlineLevel="0" max="4" min="4" style="0" width="13"/>
    <col collapsed="false" customWidth="true" hidden="false" outlineLevel="0" max="5" min="5" style="0" width="11"/>
    <col collapsed="false" customWidth="true" hidden="false" outlineLevel="0" max="6" min="6" style="0" width="12"/>
    <col collapsed="false" customWidth="true" hidden="false" outlineLevel="0" max="7" min="7" style="0" width="13"/>
    <col collapsed="false" customWidth="true" hidden="false" outlineLevel="0" max="8" min="8" style="0" width="12"/>
    <col collapsed="false" customWidth="true" hidden="false" outlineLevel="0" max="9" min="9" style="0" width="14"/>
    <col collapsed="false" customWidth="true" hidden="false" outlineLevel="0" max="12" min="10" style="0" width="11"/>
    <col collapsed="false" customWidth="true" hidden="false" outlineLevel="0" max="13" min="13" style="0" width="13"/>
    <col collapsed="false" customWidth="true" hidden="false" outlineLevel="0" max="14" min="14" style="0" width="14"/>
  </cols>
  <sheetData>
    <row r="1" customFormat="false" ht="31.5" hidden="false" customHeight="true" outlineLevel="0" collapsed="false">
      <c r="A1" s="1" t="s">
        <v>103</v>
      </c>
      <c r="B1" s="1" t="s">
        <v>277</v>
      </c>
      <c r="C1" s="1" t="s">
        <v>278</v>
      </c>
      <c r="D1" s="1" t="s">
        <v>279</v>
      </c>
      <c r="E1" s="1" t="s">
        <v>280</v>
      </c>
      <c r="F1" s="1" t="s">
        <v>281</v>
      </c>
      <c r="G1" s="1" t="s">
        <v>282</v>
      </c>
      <c r="H1" s="1" t="s">
        <v>283</v>
      </c>
      <c r="I1" s="1" t="s">
        <v>284</v>
      </c>
      <c r="J1" s="1" t="s">
        <v>285</v>
      </c>
      <c r="K1" s="1" t="s">
        <v>286</v>
      </c>
      <c r="L1" s="1" t="s">
        <v>287</v>
      </c>
      <c r="M1" s="1" t="s">
        <v>288</v>
      </c>
      <c r="N1" s="1" t="s">
        <v>289</v>
      </c>
    </row>
    <row r="2" customFormat="false" ht="15" hidden="false" customHeight="false" outlineLevel="0" collapsed="false">
      <c r="A2" s="2" t="s">
        <v>2</v>
      </c>
      <c r="B2" s="2" t="s">
        <v>290</v>
      </c>
      <c r="C2" s="2" t="s">
        <v>291</v>
      </c>
      <c r="D2" s="2" t="s">
        <v>292</v>
      </c>
      <c r="E2" s="2" t="s">
        <v>293</v>
      </c>
      <c r="F2" s="2" t="s">
        <v>294</v>
      </c>
      <c r="G2" s="2" t="s">
        <v>295</v>
      </c>
      <c r="H2" s="2" t="s">
        <v>296</v>
      </c>
      <c r="I2" s="2" t="s">
        <v>297</v>
      </c>
      <c r="J2" s="2" t="s">
        <v>298</v>
      </c>
      <c r="K2" s="7" t="n">
        <v>80</v>
      </c>
      <c r="L2" s="5" t="n">
        <v>0.375069</v>
      </c>
      <c r="M2" s="2" t="n">
        <v>1</v>
      </c>
      <c r="N2" s="2" t="n">
        <v>1</v>
      </c>
    </row>
    <row r="3" customFormat="false" ht="15" hidden="false" customHeight="false" outlineLevel="0" collapsed="false">
      <c r="A3" s="2" t="s">
        <v>3</v>
      </c>
      <c r="B3" s="2" t="s">
        <v>299</v>
      </c>
      <c r="C3" s="2" t="s">
        <v>291</v>
      </c>
      <c r="D3" s="2" t="s">
        <v>292</v>
      </c>
      <c r="E3" s="2" t="s">
        <v>300</v>
      </c>
      <c r="F3" s="2" t="s">
        <v>294</v>
      </c>
      <c r="G3" s="2" t="s">
        <v>301</v>
      </c>
      <c r="H3" s="2" t="s">
        <v>302</v>
      </c>
      <c r="I3" s="2" t="s">
        <v>303</v>
      </c>
      <c r="J3" s="2" t="s">
        <v>298</v>
      </c>
      <c r="K3" s="7" t="n">
        <v>40</v>
      </c>
      <c r="L3" s="5" t="n">
        <v>2.43</v>
      </c>
      <c r="M3" s="2" t="n">
        <v>1</v>
      </c>
      <c r="N3" s="2" t="n">
        <v>0</v>
      </c>
    </row>
    <row r="4" customFormat="false" ht="15" hidden="false" customHeight="false" outlineLevel="0" collapsed="false">
      <c r="A4" s="2" t="s">
        <v>4</v>
      </c>
      <c r="B4" s="2" t="s">
        <v>304</v>
      </c>
      <c r="C4" s="2" t="s">
        <v>305</v>
      </c>
      <c r="D4" s="2" t="s">
        <v>306</v>
      </c>
      <c r="E4" s="2" t="s">
        <v>293</v>
      </c>
      <c r="F4" s="2" t="s">
        <v>307</v>
      </c>
      <c r="G4" s="2" t="s">
        <v>308</v>
      </c>
      <c r="H4" s="2" t="s">
        <v>296</v>
      </c>
      <c r="I4" s="2" t="s">
        <v>303</v>
      </c>
      <c r="J4" s="2"/>
      <c r="K4" s="7" t="n">
        <v>20</v>
      </c>
      <c r="L4" s="5" t="n">
        <v>1.21399</v>
      </c>
      <c r="M4" s="2" t="n">
        <v>1</v>
      </c>
      <c r="N4" s="2" t="n">
        <v>1</v>
      </c>
    </row>
    <row r="5" customFormat="false" ht="15" hidden="false" customHeight="false" outlineLevel="0" collapsed="false">
      <c r="A5" s="2" t="s">
        <v>5</v>
      </c>
      <c r="B5" s="2" t="s">
        <v>309</v>
      </c>
      <c r="C5" s="2" t="s">
        <v>305</v>
      </c>
      <c r="D5" s="2" t="s">
        <v>306</v>
      </c>
      <c r="E5" s="2" t="s">
        <v>293</v>
      </c>
      <c r="F5" s="2" t="s">
        <v>307</v>
      </c>
      <c r="G5" s="2" t="s">
        <v>308</v>
      </c>
      <c r="H5" s="2" t="s">
        <v>296</v>
      </c>
      <c r="I5" s="2" t="s">
        <v>310</v>
      </c>
      <c r="J5" s="2" t="s">
        <v>311</v>
      </c>
      <c r="K5" s="7" t="n">
        <v>73</v>
      </c>
      <c r="L5" s="5"/>
      <c r="M5" s="2" t="n">
        <v>1</v>
      </c>
      <c r="N5" s="2" t="n">
        <v>1</v>
      </c>
    </row>
    <row r="6" customFormat="false" ht="15" hidden="false" customHeight="false" outlineLevel="0" collapsed="false">
      <c r="A6" s="2" t="s">
        <v>6</v>
      </c>
      <c r="B6" s="2" t="s">
        <v>309</v>
      </c>
      <c r="C6" s="2" t="s">
        <v>305</v>
      </c>
      <c r="D6" s="2" t="s">
        <v>306</v>
      </c>
      <c r="E6" s="2" t="s">
        <v>293</v>
      </c>
      <c r="F6" s="2" t="s">
        <v>307</v>
      </c>
      <c r="G6" s="2" t="s">
        <v>308</v>
      </c>
      <c r="H6" s="2" t="s">
        <v>296</v>
      </c>
      <c r="I6" s="2" t="s">
        <v>310</v>
      </c>
      <c r="J6" s="2" t="s">
        <v>311</v>
      </c>
      <c r="K6" s="7" t="n">
        <v>219</v>
      </c>
      <c r="L6" s="5" t="n">
        <v>1.055225</v>
      </c>
      <c r="M6" s="2" t="n">
        <v>1</v>
      </c>
      <c r="N6" s="2" t="n">
        <v>1</v>
      </c>
    </row>
    <row r="7" customFormat="false" ht="15" hidden="false" customHeight="false" outlineLevel="0" collapsed="false">
      <c r="A7" s="2" t="s">
        <v>7</v>
      </c>
      <c r="B7" s="2" t="s">
        <v>312</v>
      </c>
      <c r="C7" s="2" t="s">
        <v>305</v>
      </c>
      <c r="D7" s="2" t="s">
        <v>306</v>
      </c>
      <c r="E7" s="2" t="s">
        <v>293</v>
      </c>
      <c r="F7" s="2" t="s">
        <v>294</v>
      </c>
      <c r="G7" s="2" t="s">
        <v>313</v>
      </c>
      <c r="H7" s="2" t="s">
        <v>314</v>
      </c>
      <c r="I7" s="2" t="s">
        <v>303</v>
      </c>
      <c r="J7" s="2" t="s">
        <v>315</v>
      </c>
      <c r="K7" s="7" t="n">
        <v>75</v>
      </c>
      <c r="L7" s="5"/>
      <c r="M7" s="2" t="n">
        <v>1</v>
      </c>
      <c r="N7" s="2" t="n">
        <v>1</v>
      </c>
    </row>
    <row r="8" customFormat="false" ht="15" hidden="false" customHeight="false" outlineLevel="0" collapsed="false">
      <c r="A8" s="2" t="s">
        <v>8</v>
      </c>
      <c r="B8" s="2" t="s">
        <v>304</v>
      </c>
      <c r="C8" s="2" t="s">
        <v>305</v>
      </c>
      <c r="D8" s="2" t="s">
        <v>306</v>
      </c>
      <c r="E8" s="2" t="s">
        <v>293</v>
      </c>
      <c r="F8" s="2" t="s">
        <v>294</v>
      </c>
      <c r="G8" s="2" t="s">
        <v>313</v>
      </c>
      <c r="H8" s="2" t="s">
        <v>314</v>
      </c>
      <c r="I8" s="2" t="s">
        <v>303</v>
      </c>
      <c r="J8" s="2" t="s">
        <v>315</v>
      </c>
      <c r="K8" s="7" t="n">
        <v>90</v>
      </c>
      <c r="L8" s="5"/>
      <c r="M8" s="2" t="n">
        <v>1</v>
      </c>
      <c r="N8" s="2" t="n">
        <v>1</v>
      </c>
    </row>
    <row r="9" customFormat="false" ht="15" hidden="false" customHeight="false" outlineLevel="0" collapsed="false">
      <c r="A9" s="2" t="s">
        <v>9</v>
      </c>
      <c r="B9" s="2" t="s">
        <v>304</v>
      </c>
      <c r="C9" s="2" t="s">
        <v>305</v>
      </c>
      <c r="D9" s="2" t="s">
        <v>306</v>
      </c>
      <c r="E9" s="2" t="s">
        <v>293</v>
      </c>
      <c r="F9" s="2" t="s">
        <v>294</v>
      </c>
      <c r="G9" s="2" t="s">
        <v>313</v>
      </c>
      <c r="H9" s="2" t="s">
        <v>314</v>
      </c>
      <c r="I9" s="2" t="s">
        <v>303</v>
      </c>
      <c r="J9" s="2" t="s">
        <v>315</v>
      </c>
      <c r="K9" s="7" t="n">
        <v>100</v>
      </c>
      <c r="L9" s="5" t="n">
        <v>0.704794</v>
      </c>
      <c r="M9" s="2" t="n">
        <v>1</v>
      </c>
      <c r="N9" s="2" t="n">
        <v>1</v>
      </c>
    </row>
    <row r="10" customFormat="false" ht="15" hidden="false" customHeight="false" outlineLevel="0" collapsed="false">
      <c r="A10" s="2" t="s">
        <v>10</v>
      </c>
      <c r="B10" s="2" t="s">
        <v>312</v>
      </c>
      <c r="C10" s="2" t="s">
        <v>305</v>
      </c>
      <c r="D10" s="2" t="s">
        <v>306</v>
      </c>
      <c r="E10" s="2" t="s">
        <v>316</v>
      </c>
      <c r="F10" s="2" t="s">
        <v>294</v>
      </c>
      <c r="G10" s="2" t="s">
        <v>313</v>
      </c>
      <c r="H10" s="2" t="s">
        <v>314</v>
      </c>
      <c r="I10" s="2" t="s">
        <v>303</v>
      </c>
      <c r="J10" s="2" t="s">
        <v>315</v>
      </c>
      <c r="K10" s="7" t="n">
        <v>75</v>
      </c>
      <c r="L10" s="5" t="n">
        <v>1.20516</v>
      </c>
      <c r="M10" s="2" t="n">
        <v>1</v>
      </c>
      <c r="N10" s="2" t="n">
        <v>1</v>
      </c>
    </row>
    <row r="11" customFormat="false" ht="15" hidden="false" customHeight="false" outlineLevel="0" collapsed="false">
      <c r="A11" s="2" t="s">
        <v>11</v>
      </c>
      <c r="B11" s="2" t="s">
        <v>312</v>
      </c>
      <c r="C11" s="2" t="s">
        <v>305</v>
      </c>
      <c r="D11" s="2" t="s">
        <v>306</v>
      </c>
      <c r="E11" s="2" t="s">
        <v>293</v>
      </c>
      <c r="F11" s="2" t="s">
        <v>294</v>
      </c>
      <c r="G11" s="2" t="s">
        <v>313</v>
      </c>
      <c r="H11" s="2" t="s">
        <v>302</v>
      </c>
      <c r="I11" s="2" t="s">
        <v>303</v>
      </c>
      <c r="J11" s="2" t="s">
        <v>315</v>
      </c>
      <c r="K11" s="7" t="n">
        <v>48.5</v>
      </c>
      <c r="L11" s="5" t="n">
        <v>1.12621</v>
      </c>
      <c r="M11" s="2" t="n">
        <v>1</v>
      </c>
      <c r="N11" s="2" t="n">
        <v>1</v>
      </c>
    </row>
    <row r="12" customFormat="false" ht="15" hidden="false" customHeight="false" outlineLevel="0" collapsed="false">
      <c r="A12" s="2" t="s">
        <v>12</v>
      </c>
      <c r="B12" s="2" t="s">
        <v>309</v>
      </c>
      <c r="C12" s="2" t="s">
        <v>291</v>
      </c>
      <c r="D12" s="2" t="s">
        <v>292</v>
      </c>
      <c r="E12" s="2" t="s">
        <v>316</v>
      </c>
      <c r="F12" s="2" t="s">
        <v>294</v>
      </c>
      <c r="G12" s="2" t="s">
        <v>317</v>
      </c>
      <c r="H12" s="2" t="s">
        <v>296</v>
      </c>
      <c r="I12" s="2" t="s">
        <v>318</v>
      </c>
      <c r="J12" s="2" t="s">
        <v>298</v>
      </c>
      <c r="K12" s="7" t="n">
        <v>25</v>
      </c>
      <c r="L12" s="5" t="n">
        <v>1.2398</v>
      </c>
      <c r="M12" s="2" t="n">
        <v>1</v>
      </c>
      <c r="N12" s="2" t="n">
        <v>1</v>
      </c>
    </row>
    <row r="13" customFormat="false" ht="15" hidden="false" customHeight="false" outlineLevel="0" collapsed="false">
      <c r="A13" s="2" t="s">
        <v>13</v>
      </c>
      <c r="B13" s="2" t="s">
        <v>304</v>
      </c>
      <c r="C13" s="2" t="s">
        <v>305</v>
      </c>
      <c r="D13" s="2" t="s">
        <v>292</v>
      </c>
      <c r="E13" s="2" t="s">
        <v>293</v>
      </c>
      <c r="F13" s="2" t="s">
        <v>307</v>
      </c>
      <c r="G13" s="2" t="s">
        <v>317</v>
      </c>
      <c r="H13" s="2" t="s">
        <v>319</v>
      </c>
      <c r="I13" s="2" t="s">
        <v>303</v>
      </c>
      <c r="J13" s="2" t="s">
        <v>320</v>
      </c>
      <c r="K13" s="7" t="n">
        <v>73</v>
      </c>
      <c r="L13" s="5" t="n">
        <v>0.4623</v>
      </c>
      <c r="M13" s="2" t="n">
        <v>1</v>
      </c>
      <c r="N13" s="2" t="n">
        <v>1</v>
      </c>
    </row>
    <row r="14" customFormat="false" ht="15" hidden="false" customHeight="false" outlineLevel="0" collapsed="false">
      <c r="A14" s="2" t="s">
        <v>14</v>
      </c>
      <c r="B14" s="2" t="s">
        <v>309</v>
      </c>
      <c r="C14" s="2" t="s">
        <v>305</v>
      </c>
      <c r="D14" s="2" t="s">
        <v>292</v>
      </c>
      <c r="E14" s="2" t="s">
        <v>293</v>
      </c>
      <c r="F14" s="2" t="s">
        <v>307</v>
      </c>
      <c r="G14" s="2" t="s">
        <v>308</v>
      </c>
      <c r="H14" s="2" t="s">
        <v>296</v>
      </c>
      <c r="I14" s="2" t="s">
        <v>303</v>
      </c>
      <c r="J14" s="2" t="s">
        <v>298</v>
      </c>
      <c r="K14" s="7" t="n">
        <v>100</v>
      </c>
      <c r="L14" s="5" t="n">
        <v>1.03155</v>
      </c>
      <c r="M14" s="2" t="n">
        <v>1</v>
      </c>
      <c r="N14" s="2" t="n">
        <v>1</v>
      </c>
    </row>
    <row r="15" customFormat="false" ht="15" hidden="false" customHeight="false" outlineLevel="0" collapsed="false">
      <c r="A15" s="2" t="s">
        <v>15</v>
      </c>
      <c r="B15" s="2" t="s">
        <v>304</v>
      </c>
      <c r="C15" s="2" t="s">
        <v>291</v>
      </c>
      <c r="D15" s="2" t="s">
        <v>321</v>
      </c>
      <c r="E15" s="2" t="s">
        <v>293</v>
      </c>
      <c r="F15" s="2" t="s">
        <v>307</v>
      </c>
      <c r="G15" s="2" t="s">
        <v>308</v>
      </c>
      <c r="H15" s="2" t="s">
        <v>319</v>
      </c>
      <c r="I15" s="2" t="s">
        <v>303</v>
      </c>
      <c r="J15" s="2" t="s">
        <v>298</v>
      </c>
      <c r="K15" s="7" t="n">
        <v>110</v>
      </c>
      <c r="L15" s="5" t="n">
        <v>1.04347</v>
      </c>
      <c r="M15" s="2" t="n">
        <v>1</v>
      </c>
      <c r="N15" s="2" t="n">
        <v>1</v>
      </c>
    </row>
    <row r="16" customFormat="false" ht="15" hidden="false" customHeight="false" outlineLevel="0" collapsed="false">
      <c r="A16" s="2" t="s">
        <v>16</v>
      </c>
      <c r="B16" s="2" t="s">
        <v>304</v>
      </c>
      <c r="C16" s="2" t="s">
        <v>291</v>
      </c>
      <c r="D16" s="2" t="s">
        <v>292</v>
      </c>
      <c r="E16" s="2" t="s">
        <v>300</v>
      </c>
      <c r="F16" s="2" t="s">
        <v>294</v>
      </c>
      <c r="G16" s="2" t="s">
        <v>301</v>
      </c>
      <c r="H16" s="2" t="s">
        <v>314</v>
      </c>
      <c r="I16" s="2" t="s">
        <v>303</v>
      </c>
      <c r="J16" s="2" t="s">
        <v>298</v>
      </c>
      <c r="K16" s="7" t="n">
        <v>85</v>
      </c>
      <c r="L16" s="5" t="n">
        <v>3.79916</v>
      </c>
      <c r="M16" s="2" t="n">
        <v>1</v>
      </c>
      <c r="N16" s="2" t="n">
        <v>1</v>
      </c>
    </row>
    <row r="17" customFormat="false" ht="15" hidden="false" customHeight="false" outlineLevel="0" collapsed="false">
      <c r="A17" s="2" t="s">
        <v>17</v>
      </c>
      <c r="B17" s="2" t="s">
        <v>304</v>
      </c>
      <c r="C17" s="2" t="s">
        <v>305</v>
      </c>
      <c r="D17" s="2" t="s">
        <v>292</v>
      </c>
      <c r="E17" s="2" t="s">
        <v>293</v>
      </c>
      <c r="F17" s="2" t="s">
        <v>307</v>
      </c>
      <c r="G17" s="2" t="s">
        <v>317</v>
      </c>
      <c r="H17" s="2" t="s">
        <v>302</v>
      </c>
      <c r="I17" s="2" t="s">
        <v>303</v>
      </c>
      <c r="J17" s="2" t="s">
        <v>298</v>
      </c>
      <c r="K17" s="7" t="n">
        <v>91</v>
      </c>
      <c r="L17" s="5" t="n">
        <v>0.472614</v>
      </c>
      <c r="M17" s="2" t="n">
        <v>1</v>
      </c>
      <c r="N17" s="2" t="n">
        <v>1</v>
      </c>
    </row>
    <row r="18" customFormat="false" ht="15" hidden="false" customHeight="false" outlineLevel="0" collapsed="false">
      <c r="A18" s="2" t="s">
        <v>18</v>
      </c>
      <c r="B18" s="2" t="s">
        <v>304</v>
      </c>
      <c r="C18" s="2" t="s">
        <v>305</v>
      </c>
      <c r="D18" s="2" t="s">
        <v>292</v>
      </c>
      <c r="E18" s="2" t="s">
        <v>322</v>
      </c>
      <c r="F18" s="2" t="s">
        <v>294</v>
      </c>
      <c r="G18" s="2" t="s">
        <v>301</v>
      </c>
      <c r="H18" s="2" t="s">
        <v>302</v>
      </c>
      <c r="I18" s="2" t="s">
        <v>303</v>
      </c>
      <c r="J18" s="2" t="s">
        <v>298</v>
      </c>
      <c r="K18" s="7" t="n">
        <v>92</v>
      </c>
      <c r="L18" s="5" t="n">
        <v>2.11002</v>
      </c>
      <c r="M18" s="2" t="n">
        <v>1</v>
      </c>
      <c r="N18" s="2" t="n">
        <v>1</v>
      </c>
    </row>
    <row r="19" customFormat="false" ht="15" hidden="false" customHeight="false" outlineLevel="0" collapsed="false">
      <c r="A19" s="2" t="s">
        <v>19</v>
      </c>
      <c r="B19" s="2" t="s">
        <v>304</v>
      </c>
      <c r="C19" s="2" t="s">
        <v>305</v>
      </c>
      <c r="D19" s="2" t="s">
        <v>292</v>
      </c>
      <c r="E19" s="2" t="s">
        <v>293</v>
      </c>
      <c r="F19" s="2" t="s">
        <v>294</v>
      </c>
      <c r="G19" s="2" t="s">
        <v>295</v>
      </c>
      <c r="H19" s="2" t="s">
        <v>296</v>
      </c>
      <c r="I19" s="2" t="s">
        <v>297</v>
      </c>
      <c r="J19" s="2" t="s">
        <v>298</v>
      </c>
      <c r="K19" s="7" t="n">
        <v>44</v>
      </c>
      <c r="L19" s="5" t="n">
        <v>0.955139</v>
      </c>
      <c r="M19" s="2" t="n">
        <v>1</v>
      </c>
      <c r="N19" s="2" t="n">
        <v>1</v>
      </c>
    </row>
    <row r="20" customFormat="false" ht="15" hidden="false" customHeight="false" outlineLevel="0" collapsed="false">
      <c r="A20" s="2" t="s">
        <v>20</v>
      </c>
      <c r="B20" s="2" t="s">
        <v>312</v>
      </c>
      <c r="C20" s="2" t="s">
        <v>323</v>
      </c>
      <c r="D20" s="2" t="s">
        <v>292</v>
      </c>
      <c r="E20" s="2" t="s">
        <v>324</v>
      </c>
      <c r="F20" s="2" t="s">
        <v>325</v>
      </c>
      <c r="G20" s="2" t="s">
        <v>301</v>
      </c>
      <c r="H20" s="2" t="s">
        <v>314</v>
      </c>
      <c r="I20" s="2" t="s">
        <v>310</v>
      </c>
      <c r="J20" s="2" t="s">
        <v>298</v>
      </c>
      <c r="K20" s="7" t="n">
        <v>110</v>
      </c>
      <c r="L20" s="5" t="n">
        <v>3.24179</v>
      </c>
      <c r="M20" s="2" t="n">
        <v>1</v>
      </c>
      <c r="N20" s="2" t="n">
        <v>1</v>
      </c>
    </row>
    <row r="21" customFormat="false" ht="15" hidden="false" customHeight="false" outlineLevel="0" collapsed="false">
      <c r="A21" s="2" t="s">
        <v>21</v>
      </c>
      <c r="B21" s="2" t="s">
        <v>312</v>
      </c>
      <c r="C21" s="2" t="s">
        <v>305</v>
      </c>
      <c r="D21" s="2" t="s">
        <v>292</v>
      </c>
      <c r="E21" s="2" t="s">
        <v>300</v>
      </c>
      <c r="F21" s="2" t="s">
        <v>294</v>
      </c>
      <c r="G21" s="2" t="s">
        <v>301</v>
      </c>
      <c r="H21" s="2" t="s">
        <v>314</v>
      </c>
      <c r="I21" s="2" t="s">
        <v>303</v>
      </c>
      <c r="J21" s="2" t="s">
        <v>320</v>
      </c>
      <c r="K21" s="7" t="n">
        <v>152</v>
      </c>
      <c r="L21" s="5" t="n">
        <v>1.80875</v>
      </c>
      <c r="M21" s="2" t="n">
        <v>1</v>
      </c>
      <c r="N21" s="2" t="n">
        <v>1</v>
      </c>
    </row>
    <row r="22" customFormat="false" ht="15" hidden="false" customHeight="false" outlineLevel="0" collapsed="false">
      <c r="A22" s="2" t="s">
        <v>22</v>
      </c>
      <c r="B22" s="2" t="s">
        <v>304</v>
      </c>
      <c r="C22" s="2" t="s">
        <v>305</v>
      </c>
      <c r="D22" s="2" t="s">
        <v>321</v>
      </c>
      <c r="E22" s="2" t="s">
        <v>293</v>
      </c>
      <c r="F22" s="2" t="s">
        <v>307</v>
      </c>
      <c r="G22" s="2" t="s">
        <v>313</v>
      </c>
      <c r="H22" s="2" t="s">
        <v>302</v>
      </c>
      <c r="I22" s="2" t="s">
        <v>297</v>
      </c>
      <c r="J22" s="2" t="s">
        <v>298</v>
      </c>
      <c r="K22" s="7" t="n">
        <v>100</v>
      </c>
      <c r="L22" s="5" t="n">
        <v>1.47427</v>
      </c>
      <c r="M22" s="2" t="n">
        <v>1</v>
      </c>
      <c r="N22" s="2" t="n">
        <v>1</v>
      </c>
    </row>
    <row r="23" customFormat="false" ht="15" hidden="false" customHeight="false" outlineLevel="0" collapsed="false">
      <c r="A23" s="2" t="s">
        <v>23</v>
      </c>
      <c r="B23" s="2" t="s">
        <v>326</v>
      </c>
      <c r="C23" s="2"/>
      <c r="D23" s="2"/>
      <c r="E23" s="2"/>
      <c r="F23" s="2" t="s">
        <v>307</v>
      </c>
      <c r="G23" s="2" t="s">
        <v>313</v>
      </c>
      <c r="H23" s="2" t="s">
        <v>314</v>
      </c>
      <c r="I23" s="2" t="s">
        <v>303</v>
      </c>
      <c r="J23" s="2" t="s">
        <v>298</v>
      </c>
      <c r="K23" s="7" t="n">
        <v>70</v>
      </c>
      <c r="L23" s="5" t="n">
        <v>0.817827</v>
      </c>
      <c r="M23" s="2" t="n">
        <v>1</v>
      </c>
      <c r="N23" s="2" t="n">
        <v>1</v>
      </c>
    </row>
    <row r="24" customFormat="false" ht="15" hidden="false" customHeight="false" outlineLevel="0" collapsed="false">
      <c r="A24" s="2" t="s">
        <v>24</v>
      </c>
      <c r="B24" s="2" t="s">
        <v>304</v>
      </c>
      <c r="C24" s="2" t="s">
        <v>291</v>
      </c>
      <c r="D24" s="2" t="s">
        <v>321</v>
      </c>
      <c r="E24" s="2" t="s">
        <v>293</v>
      </c>
      <c r="F24" s="2" t="s">
        <v>307</v>
      </c>
      <c r="G24" s="2" t="s">
        <v>295</v>
      </c>
      <c r="H24" s="2" t="s">
        <v>302</v>
      </c>
      <c r="I24" s="2" t="s">
        <v>303</v>
      </c>
      <c r="J24" s="2" t="s">
        <v>298</v>
      </c>
      <c r="K24" s="7" t="n">
        <v>200</v>
      </c>
      <c r="L24" s="5" t="n">
        <v>0.787045</v>
      </c>
      <c r="M24" s="2" t="n">
        <v>1</v>
      </c>
      <c r="N24" s="2" t="n">
        <v>1</v>
      </c>
    </row>
    <row r="25" customFormat="false" ht="15" hidden="false" customHeight="false" outlineLevel="0" collapsed="false">
      <c r="A25" s="2" t="s">
        <v>25</v>
      </c>
      <c r="B25" s="2" t="s">
        <v>304</v>
      </c>
      <c r="C25" s="2" t="s">
        <v>291</v>
      </c>
      <c r="D25" s="2" t="s">
        <v>292</v>
      </c>
      <c r="E25" s="2" t="s">
        <v>293</v>
      </c>
      <c r="F25" s="2" t="s">
        <v>307</v>
      </c>
      <c r="G25" s="2" t="s">
        <v>313</v>
      </c>
      <c r="H25" s="2" t="s">
        <v>314</v>
      </c>
      <c r="I25" s="2" t="s">
        <v>303</v>
      </c>
      <c r="J25" s="2" t="s">
        <v>298</v>
      </c>
      <c r="K25" s="7" t="n">
        <v>120</v>
      </c>
      <c r="L25" s="5" t="n">
        <v>1.4157</v>
      </c>
      <c r="M25" s="2" t="n">
        <v>1</v>
      </c>
      <c r="N25" s="2" t="n">
        <v>1</v>
      </c>
    </row>
    <row r="26" customFormat="false" ht="15" hidden="false" customHeight="false" outlineLevel="0" collapsed="false">
      <c r="A26" s="2" t="s">
        <v>26</v>
      </c>
      <c r="B26" s="2" t="s">
        <v>304</v>
      </c>
      <c r="C26" s="2" t="s">
        <v>305</v>
      </c>
      <c r="D26" s="2" t="s">
        <v>292</v>
      </c>
      <c r="E26" s="2" t="s">
        <v>293</v>
      </c>
      <c r="F26" s="2" t="s">
        <v>307</v>
      </c>
      <c r="G26" s="2" t="s">
        <v>317</v>
      </c>
      <c r="H26" s="2" t="s">
        <v>319</v>
      </c>
      <c r="I26" s="2" t="s">
        <v>303</v>
      </c>
      <c r="J26" s="2" t="s">
        <v>298</v>
      </c>
      <c r="K26" s="7" t="n">
        <v>10</v>
      </c>
      <c r="L26" s="5" t="n">
        <v>0.661672</v>
      </c>
      <c r="M26" s="2" t="n">
        <v>1</v>
      </c>
      <c r="N26" s="2" t="n">
        <v>1</v>
      </c>
    </row>
    <row r="27" customFormat="false" ht="15" hidden="false" customHeight="false" outlineLevel="0" collapsed="false">
      <c r="A27" s="2" t="s">
        <v>27</v>
      </c>
      <c r="B27" s="2" t="s">
        <v>304</v>
      </c>
      <c r="C27" s="2" t="s">
        <v>291</v>
      </c>
      <c r="D27" s="2" t="s">
        <v>306</v>
      </c>
      <c r="E27" s="2" t="s">
        <v>324</v>
      </c>
      <c r="F27" s="2" t="s">
        <v>294</v>
      </c>
      <c r="G27" s="2" t="s">
        <v>313</v>
      </c>
      <c r="H27" s="2" t="s">
        <v>314</v>
      </c>
      <c r="I27" s="2" t="s">
        <v>303</v>
      </c>
      <c r="J27" s="2" t="s">
        <v>298</v>
      </c>
      <c r="K27" s="7" t="n">
        <v>12</v>
      </c>
      <c r="L27" s="5" t="n">
        <v>2.35299</v>
      </c>
      <c r="M27" s="2" t="n">
        <v>1</v>
      </c>
      <c r="N27" s="2" t="n">
        <v>1</v>
      </c>
    </row>
    <row r="28" customFormat="false" ht="15" hidden="false" customHeight="false" outlineLevel="0" collapsed="false">
      <c r="A28" s="2" t="s">
        <v>28</v>
      </c>
      <c r="B28" s="2" t="s">
        <v>304</v>
      </c>
      <c r="C28" s="2" t="s">
        <v>291</v>
      </c>
      <c r="D28" s="2" t="s">
        <v>306</v>
      </c>
      <c r="E28" s="2" t="s">
        <v>324</v>
      </c>
      <c r="F28" s="2" t="s">
        <v>294</v>
      </c>
      <c r="G28" s="2" t="s">
        <v>313</v>
      </c>
      <c r="H28" s="2" t="s">
        <v>314</v>
      </c>
      <c r="I28" s="2" t="s">
        <v>303</v>
      </c>
      <c r="J28" s="2" t="s">
        <v>298</v>
      </c>
      <c r="K28" s="7" t="n">
        <v>55</v>
      </c>
      <c r="L28" s="5" t="n">
        <v>2.13154</v>
      </c>
      <c r="M28" s="2" t="n">
        <v>1</v>
      </c>
      <c r="N28" s="2" t="n">
        <v>1</v>
      </c>
    </row>
    <row r="29" customFormat="false" ht="15" hidden="false" customHeight="false" outlineLevel="0" collapsed="false">
      <c r="A29" s="2" t="s">
        <v>29</v>
      </c>
      <c r="B29" s="2" t="s">
        <v>309</v>
      </c>
      <c r="C29" s="2" t="s">
        <v>291</v>
      </c>
      <c r="D29" s="2" t="s">
        <v>292</v>
      </c>
      <c r="E29" s="2" t="s">
        <v>293</v>
      </c>
      <c r="F29" s="2" t="s">
        <v>294</v>
      </c>
      <c r="G29" s="2" t="s">
        <v>317</v>
      </c>
      <c r="H29" s="2" t="s">
        <v>314</v>
      </c>
      <c r="I29" s="2" t="s">
        <v>318</v>
      </c>
      <c r="J29" s="2" t="s">
        <v>298</v>
      </c>
      <c r="K29" s="7" t="n">
        <v>200</v>
      </c>
      <c r="L29" s="5"/>
      <c r="M29" s="2" t="n">
        <v>1</v>
      </c>
      <c r="N29" s="2" t="n">
        <v>1</v>
      </c>
    </row>
    <row r="30" customFormat="false" ht="15" hidden="false" customHeight="false" outlineLevel="0" collapsed="false">
      <c r="A30" s="2" t="s">
        <v>30</v>
      </c>
      <c r="B30" s="2" t="s">
        <v>304</v>
      </c>
      <c r="C30" s="2" t="s">
        <v>305</v>
      </c>
      <c r="D30" s="2" t="s">
        <v>321</v>
      </c>
      <c r="E30" s="2" t="s">
        <v>293</v>
      </c>
      <c r="F30" s="2" t="s">
        <v>307</v>
      </c>
      <c r="G30" s="2" t="s">
        <v>327</v>
      </c>
      <c r="H30" s="2" t="s">
        <v>328</v>
      </c>
      <c r="I30" s="2" t="s">
        <v>303</v>
      </c>
      <c r="J30" s="2" t="s">
        <v>298</v>
      </c>
      <c r="K30" s="7" t="n">
        <v>170</v>
      </c>
      <c r="L30" s="5"/>
      <c r="M30" s="2" t="n">
        <v>1</v>
      </c>
      <c r="N30" s="2" t="n">
        <v>1</v>
      </c>
    </row>
    <row r="31" customFormat="false" ht="15" hidden="false" customHeight="false" outlineLevel="0" collapsed="false">
      <c r="A31" s="2" t="s">
        <v>31</v>
      </c>
      <c r="B31" s="2" t="s">
        <v>304</v>
      </c>
      <c r="C31" s="2" t="s">
        <v>291</v>
      </c>
      <c r="D31" s="2" t="s">
        <v>321</v>
      </c>
      <c r="E31" s="2" t="s">
        <v>324</v>
      </c>
      <c r="F31" s="2" t="s">
        <v>294</v>
      </c>
      <c r="G31" s="2" t="s">
        <v>313</v>
      </c>
      <c r="H31" s="2" t="s">
        <v>314</v>
      </c>
      <c r="I31" s="2" t="s">
        <v>303</v>
      </c>
      <c r="J31" s="2" t="s">
        <v>298</v>
      </c>
      <c r="K31" s="7" t="n">
        <v>40</v>
      </c>
      <c r="L31" s="5" t="n">
        <v>2.10255</v>
      </c>
      <c r="M31" s="2" t="n">
        <v>1</v>
      </c>
      <c r="N31" s="2" t="n">
        <v>1</v>
      </c>
    </row>
    <row r="32" customFormat="false" ht="15" hidden="false" customHeight="false" outlineLevel="0" collapsed="false">
      <c r="A32" s="2" t="s">
        <v>32</v>
      </c>
      <c r="B32" s="2" t="s">
        <v>304</v>
      </c>
      <c r="C32" s="2" t="s">
        <v>291</v>
      </c>
      <c r="D32" s="2" t="s">
        <v>292</v>
      </c>
      <c r="E32" s="2" t="s">
        <v>293</v>
      </c>
      <c r="F32" s="2" t="s">
        <v>294</v>
      </c>
      <c r="G32" s="2" t="s">
        <v>313</v>
      </c>
      <c r="H32" s="2" t="s">
        <v>302</v>
      </c>
      <c r="I32" s="2" t="s">
        <v>303</v>
      </c>
      <c r="J32" s="2" t="s">
        <v>298</v>
      </c>
      <c r="K32" s="7" t="n">
        <v>25</v>
      </c>
      <c r="L32" s="5" t="n">
        <v>1.39105</v>
      </c>
      <c r="M32" s="2" t="n">
        <v>1</v>
      </c>
      <c r="N32" s="2" t="n">
        <v>1</v>
      </c>
    </row>
    <row r="33" customFormat="false" ht="15" hidden="false" customHeight="false" outlineLevel="0" collapsed="false">
      <c r="A33" s="2" t="s">
        <v>33</v>
      </c>
      <c r="B33" s="2" t="s">
        <v>304</v>
      </c>
      <c r="C33" s="2" t="s">
        <v>305</v>
      </c>
      <c r="D33" s="2" t="s">
        <v>306</v>
      </c>
      <c r="E33" s="2" t="s">
        <v>293</v>
      </c>
      <c r="F33" s="2" t="s">
        <v>307</v>
      </c>
      <c r="G33" s="2" t="s">
        <v>308</v>
      </c>
      <c r="H33" s="2" t="s">
        <v>296</v>
      </c>
      <c r="I33" s="2" t="s">
        <v>297</v>
      </c>
      <c r="J33" s="2"/>
      <c r="K33" s="7" t="n">
        <v>820</v>
      </c>
      <c r="L33" s="5"/>
      <c r="M33" s="2" t="n">
        <v>1</v>
      </c>
      <c r="N33" s="2" t="n">
        <v>1</v>
      </c>
    </row>
    <row r="34" customFormat="false" ht="15" hidden="false" customHeight="false" outlineLevel="0" collapsed="false">
      <c r="A34" s="2" t="s">
        <v>34</v>
      </c>
      <c r="B34" s="2" t="s">
        <v>304</v>
      </c>
      <c r="C34" s="2" t="s">
        <v>305</v>
      </c>
      <c r="D34" s="2" t="s">
        <v>292</v>
      </c>
      <c r="E34" s="2" t="s">
        <v>293</v>
      </c>
      <c r="F34" s="2" t="s">
        <v>307</v>
      </c>
      <c r="G34" s="2"/>
      <c r="H34" s="2" t="s">
        <v>328</v>
      </c>
      <c r="I34" s="2" t="s">
        <v>318</v>
      </c>
      <c r="J34" s="2" t="s">
        <v>329</v>
      </c>
      <c r="K34" s="7" t="n">
        <v>100</v>
      </c>
      <c r="L34" s="5"/>
      <c r="M34" s="2" t="n">
        <v>1</v>
      </c>
      <c r="N34" s="2" t="n">
        <v>1</v>
      </c>
    </row>
    <row r="35" customFormat="false" ht="15" hidden="false" customHeight="false" outlineLevel="0" collapsed="false">
      <c r="A35" s="2" t="s">
        <v>35</v>
      </c>
      <c r="B35" s="2" t="s">
        <v>304</v>
      </c>
      <c r="C35" s="2" t="s">
        <v>305</v>
      </c>
      <c r="D35" s="2" t="s">
        <v>321</v>
      </c>
      <c r="E35" s="2" t="s">
        <v>293</v>
      </c>
      <c r="F35" s="2" t="s">
        <v>294</v>
      </c>
      <c r="G35" s="2" t="s">
        <v>313</v>
      </c>
      <c r="H35" s="2" t="s">
        <v>314</v>
      </c>
      <c r="I35" s="2" t="s">
        <v>303</v>
      </c>
      <c r="J35" s="2" t="s">
        <v>298</v>
      </c>
      <c r="K35" s="7" t="n">
        <v>180</v>
      </c>
      <c r="L35" s="5" t="n">
        <v>2.109165</v>
      </c>
      <c r="M35" s="2" t="n">
        <v>1</v>
      </c>
      <c r="N35" s="2" t="n">
        <v>1</v>
      </c>
    </row>
    <row r="36" customFormat="false" ht="15" hidden="false" customHeight="false" outlineLevel="0" collapsed="false">
      <c r="A36" s="2" t="s">
        <v>36</v>
      </c>
      <c r="B36" s="2" t="s">
        <v>304</v>
      </c>
      <c r="C36" s="2" t="s">
        <v>291</v>
      </c>
      <c r="D36" s="2" t="s">
        <v>292</v>
      </c>
      <c r="E36" s="2" t="s">
        <v>316</v>
      </c>
      <c r="F36" s="2" t="s">
        <v>294</v>
      </c>
      <c r="G36" s="2" t="s">
        <v>313</v>
      </c>
      <c r="H36" s="2" t="s">
        <v>302</v>
      </c>
      <c r="I36" s="2" t="s">
        <v>303</v>
      </c>
      <c r="J36" s="2" t="s">
        <v>298</v>
      </c>
      <c r="K36" s="7" t="n">
        <v>95</v>
      </c>
      <c r="L36" s="5" t="n">
        <v>1.6903</v>
      </c>
      <c r="M36" s="2" t="n">
        <v>1</v>
      </c>
      <c r="N36" s="2" t="n">
        <v>1</v>
      </c>
    </row>
    <row r="37" customFormat="false" ht="15" hidden="false" customHeight="false" outlineLevel="0" collapsed="false">
      <c r="A37" s="2" t="s">
        <v>37</v>
      </c>
      <c r="B37" s="2" t="s">
        <v>304</v>
      </c>
      <c r="C37" s="2" t="s">
        <v>291</v>
      </c>
      <c r="D37" s="2" t="s">
        <v>292</v>
      </c>
      <c r="E37" s="2" t="s">
        <v>316</v>
      </c>
      <c r="F37" s="2" t="s">
        <v>294</v>
      </c>
      <c r="G37" s="2" t="s">
        <v>313</v>
      </c>
      <c r="H37" s="2" t="s">
        <v>302</v>
      </c>
      <c r="I37" s="2" t="s">
        <v>303</v>
      </c>
      <c r="J37" s="2" t="s">
        <v>298</v>
      </c>
      <c r="K37" s="7" t="n">
        <v>400</v>
      </c>
      <c r="L37" s="5" t="n">
        <v>1.46359</v>
      </c>
      <c r="M37" s="2" t="n">
        <v>1</v>
      </c>
      <c r="N37" s="2" t="n">
        <v>1</v>
      </c>
    </row>
    <row r="38" customFormat="false" ht="15" hidden="false" customHeight="false" outlineLevel="0" collapsed="false">
      <c r="A38" s="2" t="s">
        <v>38</v>
      </c>
      <c r="B38" s="2" t="s">
        <v>304</v>
      </c>
      <c r="C38" s="2" t="s">
        <v>291</v>
      </c>
      <c r="D38" s="2" t="s">
        <v>292</v>
      </c>
      <c r="E38" s="2" t="s">
        <v>293</v>
      </c>
      <c r="F38" s="2" t="s">
        <v>294</v>
      </c>
      <c r="G38" s="2" t="s">
        <v>301</v>
      </c>
      <c r="H38" s="2" t="s">
        <v>296</v>
      </c>
      <c r="I38" s="2" t="s">
        <v>303</v>
      </c>
      <c r="J38" s="2" t="s">
        <v>320</v>
      </c>
      <c r="K38" s="7" t="n">
        <v>50</v>
      </c>
      <c r="L38" s="5" t="n">
        <v>1.45086</v>
      </c>
      <c r="M38" s="2" t="n">
        <v>1</v>
      </c>
      <c r="N38" s="2" t="n">
        <v>1</v>
      </c>
    </row>
    <row r="39" customFormat="false" ht="15" hidden="false" customHeight="false" outlineLevel="0" collapsed="false">
      <c r="A39" s="2" t="s">
        <v>39</v>
      </c>
      <c r="B39" s="2" t="s">
        <v>304</v>
      </c>
      <c r="C39" s="2" t="s">
        <v>305</v>
      </c>
      <c r="D39" s="2" t="s">
        <v>321</v>
      </c>
      <c r="E39" s="2" t="s">
        <v>300</v>
      </c>
      <c r="F39" s="2" t="s">
        <v>294</v>
      </c>
      <c r="G39" s="2" t="s">
        <v>313</v>
      </c>
      <c r="H39" s="2" t="s">
        <v>314</v>
      </c>
      <c r="I39" s="2" t="s">
        <v>303</v>
      </c>
      <c r="J39" s="2" t="s">
        <v>298</v>
      </c>
      <c r="K39" s="7" t="n">
        <v>210</v>
      </c>
      <c r="L39" s="5" t="n">
        <v>2.76841</v>
      </c>
      <c r="M39" s="2" t="n">
        <v>1</v>
      </c>
      <c r="N39" s="2" t="n">
        <v>1</v>
      </c>
    </row>
    <row r="40" customFormat="false" ht="15" hidden="false" customHeight="false" outlineLevel="0" collapsed="false">
      <c r="A40" s="2" t="s">
        <v>40</v>
      </c>
      <c r="B40" s="2" t="s">
        <v>304</v>
      </c>
      <c r="C40" s="2" t="s">
        <v>305</v>
      </c>
      <c r="D40" s="2" t="s">
        <v>306</v>
      </c>
      <c r="E40" s="2" t="s">
        <v>293</v>
      </c>
      <c r="F40" s="2" t="s">
        <v>307</v>
      </c>
      <c r="G40" s="2" t="s">
        <v>308</v>
      </c>
      <c r="H40" s="2" t="s">
        <v>296</v>
      </c>
      <c r="I40" s="2" t="s">
        <v>297</v>
      </c>
      <c r="J40" s="2"/>
      <c r="K40" s="7" t="n">
        <v>126</v>
      </c>
      <c r="L40" s="5"/>
      <c r="M40" s="2" t="n">
        <v>1</v>
      </c>
      <c r="N40" s="2" t="n">
        <v>1</v>
      </c>
    </row>
    <row r="41" customFormat="false" ht="15" hidden="false" customHeight="false" outlineLevel="0" collapsed="false">
      <c r="A41" s="2" t="s">
        <v>41</v>
      </c>
      <c r="B41" s="2" t="s">
        <v>304</v>
      </c>
      <c r="C41" s="2" t="s">
        <v>305</v>
      </c>
      <c r="D41" s="2" t="s">
        <v>306</v>
      </c>
      <c r="E41" s="2" t="s">
        <v>293</v>
      </c>
      <c r="F41" s="2" t="s">
        <v>307</v>
      </c>
      <c r="G41" s="2" t="s">
        <v>308</v>
      </c>
      <c r="H41" s="2" t="s">
        <v>296</v>
      </c>
      <c r="I41" s="2" t="s">
        <v>297</v>
      </c>
      <c r="J41" s="2"/>
      <c r="K41" s="7" t="n">
        <v>348</v>
      </c>
      <c r="L41" s="5"/>
      <c r="M41" s="2" t="n">
        <v>1</v>
      </c>
      <c r="N41" s="2" t="n">
        <v>1</v>
      </c>
    </row>
    <row r="42" customFormat="false" ht="15" hidden="false" customHeight="false" outlineLevel="0" collapsed="false">
      <c r="A42" s="2" t="s">
        <v>42</v>
      </c>
      <c r="B42" s="2" t="s">
        <v>304</v>
      </c>
      <c r="C42" s="2" t="s">
        <v>323</v>
      </c>
      <c r="D42" s="2" t="s">
        <v>292</v>
      </c>
      <c r="E42" s="2" t="s">
        <v>324</v>
      </c>
      <c r="F42" s="2" t="s">
        <v>325</v>
      </c>
      <c r="G42" s="2" t="s">
        <v>301</v>
      </c>
      <c r="H42" s="2" t="s">
        <v>314</v>
      </c>
      <c r="I42" s="2" t="s">
        <v>303</v>
      </c>
      <c r="J42" s="2"/>
      <c r="K42" s="7" t="n">
        <v>136</v>
      </c>
      <c r="L42" s="5" t="n">
        <v>2.399115</v>
      </c>
      <c r="M42" s="2" t="n">
        <v>1</v>
      </c>
      <c r="N42" s="2" t="n">
        <v>1</v>
      </c>
    </row>
    <row r="43" customFormat="false" ht="15" hidden="false" customHeight="false" outlineLevel="0" collapsed="false">
      <c r="A43" s="2" t="s">
        <v>43</v>
      </c>
      <c r="B43" s="2" t="s">
        <v>304</v>
      </c>
      <c r="C43" s="2" t="s">
        <v>305</v>
      </c>
      <c r="D43" s="2" t="s">
        <v>321</v>
      </c>
      <c r="E43" s="2" t="s">
        <v>293</v>
      </c>
      <c r="F43" s="2" t="s">
        <v>307</v>
      </c>
      <c r="G43" s="2" t="s">
        <v>313</v>
      </c>
      <c r="H43" s="2" t="s">
        <v>302</v>
      </c>
      <c r="I43" s="2" t="s">
        <v>303</v>
      </c>
      <c r="J43" s="2" t="s">
        <v>298</v>
      </c>
      <c r="K43" s="7" t="n">
        <v>146</v>
      </c>
      <c r="L43" s="5" t="n">
        <v>1.27821</v>
      </c>
      <c r="M43" s="2" t="n">
        <v>1</v>
      </c>
      <c r="N43" s="2" t="n">
        <v>1</v>
      </c>
    </row>
    <row r="44" customFormat="false" ht="15" hidden="false" customHeight="false" outlineLevel="0" collapsed="false">
      <c r="A44" s="2" t="s">
        <v>44</v>
      </c>
      <c r="B44" s="2" t="s">
        <v>309</v>
      </c>
      <c r="C44" s="2" t="s">
        <v>291</v>
      </c>
      <c r="D44" s="2" t="s">
        <v>321</v>
      </c>
      <c r="E44" s="2" t="s">
        <v>300</v>
      </c>
      <c r="F44" s="2" t="s">
        <v>294</v>
      </c>
      <c r="G44" s="2" t="s">
        <v>301</v>
      </c>
      <c r="H44" s="2" t="s">
        <v>302</v>
      </c>
      <c r="I44" s="2" t="s">
        <v>310</v>
      </c>
      <c r="J44" s="2" t="s">
        <v>298</v>
      </c>
      <c r="K44" s="7" t="n">
        <v>200</v>
      </c>
      <c r="L44" s="5" t="n">
        <v>2.04264</v>
      </c>
      <c r="M44" s="2" t="n">
        <v>1</v>
      </c>
      <c r="N44" s="2" t="n">
        <v>1</v>
      </c>
    </row>
    <row r="45" customFormat="false" ht="15" hidden="false" customHeight="false" outlineLevel="0" collapsed="false">
      <c r="A45" s="2" t="s">
        <v>45</v>
      </c>
      <c r="B45" s="2" t="s">
        <v>304</v>
      </c>
      <c r="C45" s="2" t="s">
        <v>291</v>
      </c>
      <c r="D45" s="2" t="s">
        <v>292</v>
      </c>
      <c r="E45" s="2" t="s">
        <v>316</v>
      </c>
      <c r="F45" s="2" t="s">
        <v>307</v>
      </c>
      <c r="G45" s="2" t="s">
        <v>317</v>
      </c>
      <c r="H45" s="2" t="s">
        <v>302</v>
      </c>
      <c r="I45" s="2" t="s">
        <v>297</v>
      </c>
      <c r="J45" s="2" t="s">
        <v>298</v>
      </c>
      <c r="K45" s="7" t="n">
        <v>190</v>
      </c>
      <c r="L45" s="5" t="n">
        <v>1.1303</v>
      </c>
      <c r="M45" s="2" t="n">
        <v>1</v>
      </c>
      <c r="N45" s="2" t="n">
        <v>1</v>
      </c>
    </row>
    <row r="46" customFormat="false" ht="15" hidden="false" customHeight="false" outlineLevel="0" collapsed="false">
      <c r="A46" s="2" t="s">
        <v>46</v>
      </c>
      <c r="B46" s="2" t="s">
        <v>309</v>
      </c>
      <c r="C46" s="2"/>
      <c r="D46" s="2"/>
      <c r="E46" s="2"/>
      <c r="F46" s="2"/>
      <c r="G46" s="2" t="s">
        <v>313</v>
      </c>
      <c r="H46" s="2" t="s">
        <v>314</v>
      </c>
      <c r="I46" s="2" t="s">
        <v>303</v>
      </c>
      <c r="J46" s="2" t="s">
        <v>298</v>
      </c>
      <c r="K46" s="7" t="n">
        <v>650</v>
      </c>
      <c r="L46" s="5" t="n">
        <v>3.31596</v>
      </c>
      <c r="M46" s="2" t="n">
        <v>1</v>
      </c>
      <c r="N46" s="2" t="n">
        <v>1</v>
      </c>
    </row>
    <row r="47" customFormat="false" ht="15" hidden="false" customHeight="false" outlineLevel="0" collapsed="false">
      <c r="A47" s="2" t="s">
        <v>47</v>
      </c>
      <c r="B47" s="2" t="s">
        <v>312</v>
      </c>
      <c r="C47" s="2" t="s">
        <v>305</v>
      </c>
      <c r="D47" s="2" t="s">
        <v>292</v>
      </c>
      <c r="E47" s="2" t="s">
        <v>316</v>
      </c>
      <c r="F47" s="2" t="s">
        <v>294</v>
      </c>
      <c r="G47" s="2" t="s">
        <v>313</v>
      </c>
      <c r="H47" s="2" t="s">
        <v>314</v>
      </c>
      <c r="I47" s="2" t="s">
        <v>310</v>
      </c>
      <c r="J47" s="2" t="s">
        <v>298</v>
      </c>
      <c r="K47" s="7" t="n">
        <v>900</v>
      </c>
      <c r="L47" s="5" t="n">
        <v>1.235495</v>
      </c>
      <c r="M47" s="2" t="n">
        <v>1</v>
      </c>
      <c r="N47" s="2" t="n">
        <v>1</v>
      </c>
    </row>
    <row r="48" customFormat="false" ht="15" hidden="false" customHeight="false" outlineLevel="0" collapsed="false">
      <c r="A48" s="2" t="s">
        <v>48</v>
      </c>
      <c r="B48" s="2" t="s">
        <v>304</v>
      </c>
      <c r="C48" s="2" t="s">
        <v>291</v>
      </c>
      <c r="D48" s="2" t="s">
        <v>292</v>
      </c>
      <c r="E48" s="2" t="s">
        <v>316</v>
      </c>
      <c r="F48" s="2" t="s">
        <v>294</v>
      </c>
      <c r="G48" s="2" t="s">
        <v>313</v>
      </c>
      <c r="H48" s="2" t="s">
        <v>314</v>
      </c>
      <c r="I48" s="2" t="s">
        <v>297</v>
      </c>
      <c r="J48" s="2" t="s">
        <v>298</v>
      </c>
      <c r="K48" s="7" t="n">
        <v>90</v>
      </c>
      <c r="L48" s="5" t="n">
        <v>2.20615</v>
      </c>
      <c r="M48" s="2" t="n">
        <v>1</v>
      </c>
      <c r="N48" s="2" t="n">
        <v>1</v>
      </c>
    </row>
    <row r="49" customFormat="false" ht="15" hidden="false" customHeight="false" outlineLevel="0" collapsed="false">
      <c r="A49" s="2" t="s">
        <v>49</v>
      </c>
      <c r="B49" s="2" t="s">
        <v>304</v>
      </c>
      <c r="C49" s="2" t="s">
        <v>305</v>
      </c>
      <c r="D49" s="2" t="s">
        <v>321</v>
      </c>
      <c r="E49" s="2" t="s">
        <v>293</v>
      </c>
      <c r="F49" s="2" t="s">
        <v>307</v>
      </c>
      <c r="G49" s="2" t="s">
        <v>313</v>
      </c>
      <c r="H49" s="2" t="s">
        <v>296</v>
      </c>
      <c r="I49" s="2" t="s">
        <v>310</v>
      </c>
      <c r="J49" s="2" t="s">
        <v>298</v>
      </c>
      <c r="K49" s="7" t="n">
        <v>100</v>
      </c>
      <c r="L49" s="5" t="n">
        <v>0.944125</v>
      </c>
      <c r="M49" s="2" t="n">
        <v>1</v>
      </c>
      <c r="N49" s="2" t="n">
        <v>1</v>
      </c>
    </row>
    <row r="50" customFormat="false" ht="15" hidden="false" customHeight="false" outlineLevel="0" collapsed="false">
      <c r="A50" s="2" t="s">
        <v>50</v>
      </c>
      <c r="B50" s="2" t="s">
        <v>309</v>
      </c>
      <c r="C50" s="2" t="s">
        <v>305</v>
      </c>
      <c r="D50" s="2" t="s">
        <v>292</v>
      </c>
      <c r="E50" s="2" t="s">
        <v>293</v>
      </c>
      <c r="F50" s="2" t="s">
        <v>307</v>
      </c>
      <c r="G50" s="2" t="s">
        <v>317</v>
      </c>
      <c r="H50" s="2" t="s">
        <v>314</v>
      </c>
      <c r="I50" s="2" t="s">
        <v>303</v>
      </c>
      <c r="J50" s="2" t="s">
        <v>298</v>
      </c>
      <c r="K50" s="7" t="n">
        <v>450</v>
      </c>
      <c r="L50" s="5" t="n">
        <v>1.58273</v>
      </c>
      <c r="M50" s="2" t="n">
        <v>1</v>
      </c>
      <c r="N50" s="2" t="n">
        <v>1</v>
      </c>
    </row>
    <row r="51" customFormat="false" ht="15" hidden="false" customHeight="false" outlineLevel="0" collapsed="false">
      <c r="A51" s="2" t="s">
        <v>51</v>
      </c>
      <c r="B51" s="2" t="s">
        <v>309</v>
      </c>
      <c r="C51" s="2" t="s">
        <v>305</v>
      </c>
      <c r="D51" s="2" t="s">
        <v>292</v>
      </c>
      <c r="E51" s="2" t="s">
        <v>293</v>
      </c>
      <c r="F51" s="2" t="s">
        <v>307</v>
      </c>
      <c r="G51" s="2" t="s">
        <v>317</v>
      </c>
      <c r="H51" s="2" t="s">
        <v>314</v>
      </c>
      <c r="I51" s="2" t="s">
        <v>303</v>
      </c>
      <c r="J51" s="2" t="s">
        <v>298</v>
      </c>
      <c r="K51" s="7" t="n">
        <v>550</v>
      </c>
      <c r="L51" s="5" t="n">
        <v>2.54076</v>
      </c>
      <c r="M51" s="2" t="n">
        <v>1</v>
      </c>
      <c r="N51" s="2" t="n">
        <v>1</v>
      </c>
    </row>
    <row r="52" customFormat="false" ht="15" hidden="false" customHeight="false" outlineLevel="0" collapsed="false">
      <c r="A52" s="2" t="s">
        <v>52</v>
      </c>
      <c r="B52" s="2" t="s">
        <v>304</v>
      </c>
      <c r="C52" s="2" t="s">
        <v>305</v>
      </c>
      <c r="D52" s="2" t="s">
        <v>321</v>
      </c>
      <c r="E52" s="2" t="s">
        <v>293</v>
      </c>
      <c r="F52" s="2" t="s">
        <v>307</v>
      </c>
      <c r="G52" s="2" t="s">
        <v>313</v>
      </c>
      <c r="H52" s="2" t="s">
        <v>302</v>
      </c>
      <c r="I52" s="2" t="s">
        <v>303</v>
      </c>
      <c r="J52" s="2" t="s">
        <v>298</v>
      </c>
      <c r="K52" s="7" t="n">
        <v>36</v>
      </c>
      <c r="L52" s="5"/>
      <c r="M52" s="2" t="n">
        <v>1</v>
      </c>
      <c r="N52" s="2" t="n">
        <v>1</v>
      </c>
    </row>
    <row r="53" customFormat="false" ht="15" hidden="false" customHeight="false" outlineLevel="0" collapsed="false">
      <c r="A53" s="2" t="s">
        <v>53</v>
      </c>
      <c r="B53" s="2" t="s">
        <v>304</v>
      </c>
      <c r="C53" s="2" t="s">
        <v>305</v>
      </c>
      <c r="D53" s="2" t="s">
        <v>321</v>
      </c>
      <c r="E53" s="2" t="s">
        <v>293</v>
      </c>
      <c r="F53" s="2" t="s">
        <v>307</v>
      </c>
      <c r="G53" s="2" t="s">
        <v>313</v>
      </c>
      <c r="H53" s="2" t="s">
        <v>302</v>
      </c>
      <c r="I53" s="2" t="s">
        <v>303</v>
      </c>
      <c r="J53" s="2" t="s">
        <v>298</v>
      </c>
      <c r="K53" s="7" t="n">
        <v>75</v>
      </c>
      <c r="L53" s="5"/>
      <c r="M53" s="2" t="n">
        <v>1</v>
      </c>
      <c r="N53" s="2" t="n">
        <v>1</v>
      </c>
    </row>
    <row r="54" customFormat="false" ht="15" hidden="false" customHeight="false" outlineLevel="0" collapsed="false">
      <c r="A54" s="2" t="s">
        <v>54</v>
      </c>
      <c r="B54" s="2" t="s">
        <v>304</v>
      </c>
      <c r="C54" s="2"/>
      <c r="D54" s="2"/>
      <c r="E54" s="2"/>
      <c r="F54" s="2" t="s">
        <v>307</v>
      </c>
      <c r="G54" s="2" t="s">
        <v>313</v>
      </c>
      <c r="H54" s="2" t="s">
        <v>302</v>
      </c>
      <c r="I54" s="2" t="s">
        <v>303</v>
      </c>
      <c r="J54" s="2" t="s">
        <v>298</v>
      </c>
      <c r="K54" s="7" t="n">
        <v>216</v>
      </c>
      <c r="L54" s="5" t="n">
        <v>0.731549</v>
      </c>
      <c r="M54" s="2" t="n">
        <v>1</v>
      </c>
      <c r="N54" s="2" t="n">
        <v>1</v>
      </c>
    </row>
    <row r="55" customFormat="false" ht="15" hidden="false" customHeight="false" outlineLevel="0" collapsed="false">
      <c r="A55" s="2" t="s">
        <v>55</v>
      </c>
      <c r="B55" s="2" t="s">
        <v>304</v>
      </c>
      <c r="C55" s="2" t="s">
        <v>305</v>
      </c>
      <c r="D55" s="2" t="s">
        <v>321</v>
      </c>
      <c r="E55" s="2" t="s">
        <v>293</v>
      </c>
      <c r="F55" s="2" t="s">
        <v>307</v>
      </c>
      <c r="G55" s="2" t="s">
        <v>313</v>
      </c>
      <c r="H55" s="2" t="s">
        <v>302</v>
      </c>
      <c r="I55" s="2" t="s">
        <v>303</v>
      </c>
      <c r="J55" s="2" t="s">
        <v>298</v>
      </c>
      <c r="K55" s="7" t="n">
        <v>110</v>
      </c>
      <c r="L55" s="5"/>
      <c r="M55" s="2" t="n">
        <v>1</v>
      </c>
      <c r="N55" s="2" t="n">
        <v>1</v>
      </c>
    </row>
    <row r="56" customFormat="false" ht="15" hidden="false" customHeight="false" outlineLevel="0" collapsed="false">
      <c r="A56" s="2" t="s">
        <v>56</v>
      </c>
      <c r="B56" s="2" t="s">
        <v>304</v>
      </c>
      <c r="C56" s="2" t="s">
        <v>305</v>
      </c>
      <c r="D56" s="2" t="s">
        <v>292</v>
      </c>
      <c r="E56" s="2" t="s">
        <v>293</v>
      </c>
      <c r="F56" s="2" t="s">
        <v>307</v>
      </c>
      <c r="G56" s="2" t="s">
        <v>313</v>
      </c>
      <c r="H56" s="2" t="s">
        <v>302</v>
      </c>
      <c r="I56" s="2" t="s">
        <v>310</v>
      </c>
      <c r="J56" s="2" t="s">
        <v>298</v>
      </c>
      <c r="K56" s="7" t="n">
        <v>165</v>
      </c>
      <c r="L56" s="5"/>
      <c r="M56" s="2" t="n">
        <v>1</v>
      </c>
      <c r="N56" s="2" t="n">
        <v>1</v>
      </c>
    </row>
    <row r="57" customFormat="false" ht="15" hidden="false" customHeight="false" outlineLevel="0" collapsed="false">
      <c r="A57" s="2" t="s">
        <v>57</v>
      </c>
      <c r="B57" s="2" t="s">
        <v>304</v>
      </c>
      <c r="C57" s="2" t="s">
        <v>305</v>
      </c>
      <c r="D57" s="2" t="s">
        <v>292</v>
      </c>
      <c r="E57" s="2" t="s">
        <v>293</v>
      </c>
      <c r="F57" s="2" t="s">
        <v>307</v>
      </c>
      <c r="G57" s="2" t="s">
        <v>313</v>
      </c>
      <c r="H57" s="2" t="s">
        <v>302</v>
      </c>
      <c r="I57" s="2" t="s">
        <v>310</v>
      </c>
      <c r="J57" s="2" t="s">
        <v>298</v>
      </c>
      <c r="K57" s="7" t="n">
        <v>275</v>
      </c>
      <c r="L57" s="5" t="n">
        <v>1.03866</v>
      </c>
      <c r="M57" s="2" t="n">
        <v>1</v>
      </c>
      <c r="N57" s="2" t="n">
        <v>1</v>
      </c>
    </row>
    <row r="58" customFormat="false" ht="15" hidden="false" customHeight="false" outlineLevel="0" collapsed="false">
      <c r="A58" s="2" t="s">
        <v>58</v>
      </c>
      <c r="B58" s="2" t="s">
        <v>304</v>
      </c>
      <c r="C58" s="2" t="s">
        <v>305</v>
      </c>
      <c r="D58" s="2" t="s">
        <v>292</v>
      </c>
      <c r="E58" s="2" t="s">
        <v>293</v>
      </c>
      <c r="F58" s="2" t="s">
        <v>307</v>
      </c>
      <c r="G58" s="2" t="s">
        <v>313</v>
      </c>
      <c r="H58" s="2" t="s">
        <v>302</v>
      </c>
      <c r="I58" s="2" t="s">
        <v>310</v>
      </c>
      <c r="J58" s="2" t="s">
        <v>298</v>
      </c>
      <c r="K58" s="7" t="n">
        <v>100</v>
      </c>
      <c r="L58" s="5"/>
      <c r="M58" s="2" t="n">
        <v>1</v>
      </c>
      <c r="N58" s="2" t="n">
        <v>1</v>
      </c>
    </row>
    <row r="59" customFormat="false" ht="15" hidden="false" customHeight="false" outlineLevel="0" collapsed="false">
      <c r="A59" s="2" t="s">
        <v>59</v>
      </c>
      <c r="B59" s="2" t="s">
        <v>304</v>
      </c>
      <c r="C59" s="2" t="s">
        <v>305</v>
      </c>
      <c r="D59" s="2" t="s">
        <v>292</v>
      </c>
      <c r="E59" s="2" t="s">
        <v>293</v>
      </c>
      <c r="F59" s="2" t="s">
        <v>307</v>
      </c>
      <c r="G59" s="2" t="s">
        <v>313</v>
      </c>
      <c r="H59" s="2" t="s">
        <v>302</v>
      </c>
      <c r="I59" s="2" t="s">
        <v>310</v>
      </c>
      <c r="J59" s="2" t="s">
        <v>298</v>
      </c>
      <c r="K59" s="7" t="n">
        <v>402</v>
      </c>
      <c r="L59" s="5" t="n">
        <v>1.28022</v>
      </c>
      <c r="M59" s="2" t="n">
        <v>1</v>
      </c>
      <c r="N59" s="2" t="n">
        <v>1</v>
      </c>
    </row>
    <row r="60" customFormat="false" ht="15" hidden="false" customHeight="false" outlineLevel="0" collapsed="false">
      <c r="A60" s="2" t="s">
        <v>60</v>
      </c>
      <c r="B60" s="2" t="s">
        <v>304</v>
      </c>
      <c r="C60" s="2" t="s">
        <v>305</v>
      </c>
      <c r="D60" s="2" t="s">
        <v>292</v>
      </c>
      <c r="E60" s="2" t="s">
        <v>293</v>
      </c>
      <c r="F60" s="2" t="s">
        <v>307</v>
      </c>
      <c r="G60" s="2" t="s">
        <v>313</v>
      </c>
      <c r="H60" s="2" t="s">
        <v>302</v>
      </c>
      <c r="I60" s="2" t="s">
        <v>310</v>
      </c>
      <c r="J60" s="2" t="s">
        <v>298</v>
      </c>
      <c r="K60" s="7" t="n">
        <v>402</v>
      </c>
      <c r="L60" s="5" t="n">
        <v>1.255775</v>
      </c>
      <c r="M60" s="2" t="n">
        <v>1</v>
      </c>
      <c r="N60" s="2" t="n">
        <v>1</v>
      </c>
    </row>
    <row r="61" customFormat="false" ht="15" hidden="false" customHeight="false" outlineLevel="0" collapsed="false">
      <c r="A61" s="2" t="s">
        <v>61</v>
      </c>
      <c r="B61" s="2" t="s">
        <v>312</v>
      </c>
      <c r="C61" s="2" t="s">
        <v>305</v>
      </c>
      <c r="D61" s="2" t="s">
        <v>292</v>
      </c>
      <c r="E61" s="2" t="s">
        <v>316</v>
      </c>
      <c r="F61" s="2" t="s">
        <v>294</v>
      </c>
      <c r="G61" s="2" t="s">
        <v>313</v>
      </c>
      <c r="H61" s="2" t="s">
        <v>302</v>
      </c>
      <c r="I61" s="2" t="s">
        <v>310</v>
      </c>
      <c r="J61" s="2" t="s">
        <v>298</v>
      </c>
      <c r="K61" s="7" t="n">
        <v>400</v>
      </c>
      <c r="L61" s="5" t="n">
        <v>1.59554</v>
      </c>
      <c r="M61" s="2" t="n">
        <v>1</v>
      </c>
      <c r="N61" s="2" t="n">
        <v>1</v>
      </c>
    </row>
    <row r="62" customFormat="false" ht="15" hidden="false" customHeight="false" outlineLevel="0" collapsed="false">
      <c r="A62" s="2" t="s">
        <v>62</v>
      </c>
      <c r="B62" s="2" t="s">
        <v>304</v>
      </c>
      <c r="C62" s="2" t="s">
        <v>291</v>
      </c>
      <c r="D62" s="2"/>
      <c r="E62" s="2"/>
      <c r="F62" s="2" t="s">
        <v>307</v>
      </c>
      <c r="G62" s="2" t="s">
        <v>295</v>
      </c>
      <c r="H62" s="2" t="s">
        <v>302</v>
      </c>
      <c r="I62" s="2" t="s">
        <v>303</v>
      </c>
      <c r="J62" s="2" t="s">
        <v>320</v>
      </c>
      <c r="K62" s="7" t="n">
        <v>100</v>
      </c>
      <c r="L62" s="5"/>
      <c r="M62" s="2" t="n">
        <v>1</v>
      </c>
      <c r="N62" s="2" t="n">
        <v>1</v>
      </c>
    </row>
    <row r="63" customFormat="false" ht="15" hidden="false" customHeight="false" outlineLevel="0" collapsed="false">
      <c r="A63" s="2" t="s">
        <v>63</v>
      </c>
      <c r="B63" s="2" t="s">
        <v>290</v>
      </c>
      <c r="C63" s="2" t="s">
        <v>291</v>
      </c>
      <c r="D63" s="2" t="s">
        <v>292</v>
      </c>
      <c r="E63" s="2" t="s">
        <v>293</v>
      </c>
      <c r="F63" s="2" t="s">
        <v>294</v>
      </c>
      <c r="G63" s="2" t="s">
        <v>295</v>
      </c>
      <c r="H63" s="2" t="s">
        <v>296</v>
      </c>
      <c r="I63" s="2" t="s">
        <v>303</v>
      </c>
      <c r="J63" s="2" t="s">
        <v>320</v>
      </c>
      <c r="K63" s="7" t="n">
        <v>45</v>
      </c>
      <c r="L63" s="5" t="n">
        <v>1.97225</v>
      </c>
      <c r="M63" s="2" t="n">
        <v>1</v>
      </c>
      <c r="N63" s="2" t="n">
        <v>1</v>
      </c>
    </row>
    <row r="64" customFormat="false" ht="15" hidden="false" customHeight="false" outlineLevel="0" collapsed="false">
      <c r="A64" s="2" t="s">
        <v>64</v>
      </c>
      <c r="B64" s="2" t="s">
        <v>304</v>
      </c>
      <c r="C64" s="2" t="s">
        <v>305</v>
      </c>
      <c r="D64" s="2" t="s">
        <v>292</v>
      </c>
      <c r="E64" s="2" t="s">
        <v>293</v>
      </c>
      <c r="F64" s="2" t="s">
        <v>307</v>
      </c>
      <c r="G64" s="2" t="s">
        <v>317</v>
      </c>
      <c r="H64" s="2" t="s">
        <v>296</v>
      </c>
      <c r="I64" s="2" t="s">
        <v>303</v>
      </c>
      <c r="J64" s="2" t="s">
        <v>320</v>
      </c>
      <c r="K64" s="7" t="n">
        <v>25</v>
      </c>
      <c r="L64" s="5"/>
      <c r="M64" s="2" t="n">
        <v>1</v>
      </c>
      <c r="N64" s="2" t="n">
        <v>1</v>
      </c>
    </row>
    <row r="65" customFormat="false" ht="15" hidden="false" customHeight="false" outlineLevel="0" collapsed="false">
      <c r="A65" s="2" t="s">
        <v>65</v>
      </c>
      <c r="B65" s="2" t="s">
        <v>326</v>
      </c>
      <c r="C65" s="2" t="s">
        <v>291</v>
      </c>
      <c r="D65" s="2" t="s">
        <v>292</v>
      </c>
      <c r="E65" s="2" t="s">
        <v>293</v>
      </c>
      <c r="F65" s="2" t="s">
        <v>294</v>
      </c>
      <c r="G65" s="2" t="s">
        <v>301</v>
      </c>
      <c r="H65" s="2" t="s">
        <v>296</v>
      </c>
      <c r="I65" s="2" t="s">
        <v>303</v>
      </c>
      <c r="J65" s="2" t="s">
        <v>320</v>
      </c>
      <c r="K65" s="7" t="n">
        <v>80</v>
      </c>
      <c r="L65" s="5" t="n">
        <v>0.80885</v>
      </c>
      <c r="M65" s="2" t="n">
        <v>1</v>
      </c>
      <c r="N65" s="2" t="n">
        <v>1</v>
      </c>
    </row>
    <row r="66" customFormat="false" ht="15" hidden="false" customHeight="false" outlineLevel="0" collapsed="false">
      <c r="A66" s="2" t="s">
        <v>66</v>
      </c>
      <c r="B66" s="2" t="s">
        <v>304</v>
      </c>
      <c r="C66" s="2"/>
      <c r="D66" s="2"/>
      <c r="E66" s="2"/>
      <c r="F66" s="2" t="s">
        <v>307</v>
      </c>
      <c r="G66" s="2" t="s">
        <v>308</v>
      </c>
      <c r="H66" s="2" t="s">
        <v>319</v>
      </c>
      <c r="I66" s="2" t="s">
        <v>303</v>
      </c>
      <c r="J66" s="2" t="s">
        <v>298</v>
      </c>
      <c r="K66" s="7" t="n">
        <v>400</v>
      </c>
      <c r="L66" s="5" t="n">
        <v>1.48458</v>
      </c>
      <c r="M66" s="2" t="n">
        <v>1</v>
      </c>
      <c r="N66" s="2" t="n">
        <v>1</v>
      </c>
    </row>
    <row r="67" customFormat="false" ht="15" hidden="false" customHeight="false" outlineLevel="0" collapsed="false">
      <c r="A67" s="2" t="s">
        <v>67</v>
      </c>
      <c r="B67" s="2" t="s">
        <v>309</v>
      </c>
      <c r="C67" s="2"/>
      <c r="D67" s="2"/>
      <c r="E67" s="2"/>
      <c r="F67" s="2" t="s">
        <v>307</v>
      </c>
      <c r="G67" s="2" t="s">
        <v>308</v>
      </c>
      <c r="H67" s="2" t="s">
        <v>319</v>
      </c>
      <c r="I67" s="2" t="s">
        <v>303</v>
      </c>
      <c r="J67" s="2" t="s">
        <v>298</v>
      </c>
      <c r="K67" s="7" t="n">
        <v>140</v>
      </c>
      <c r="L67" s="5" t="n">
        <v>1.4472</v>
      </c>
      <c r="M67" s="2" t="n">
        <v>1</v>
      </c>
      <c r="N67" s="2" t="n">
        <v>1</v>
      </c>
    </row>
    <row r="68" customFormat="false" ht="15" hidden="false" customHeight="false" outlineLevel="0" collapsed="false">
      <c r="A68" s="2" t="s">
        <v>68</v>
      </c>
      <c r="B68" s="2" t="s">
        <v>304</v>
      </c>
      <c r="C68" s="2" t="s">
        <v>305</v>
      </c>
      <c r="D68" s="2" t="s">
        <v>292</v>
      </c>
      <c r="E68" s="2" t="s">
        <v>293</v>
      </c>
      <c r="F68" s="2" t="s">
        <v>307</v>
      </c>
      <c r="G68" s="2" t="s">
        <v>308</v>
      </c>
      <c r="H68" s="2" t="s">
        <v>328</v>
      </c>
      <c r="I68" s="2" t="s">
        <v>303</v>
      </c>
      <c r="J68" s="2" t="s">
        <v>298</v>
      </c>
      <c r="K68" s="7" t="n">
        <v>263</v>
      </c>
      <c r="L68" s="5"/>
      <c r="M68" s="2" t="n">
        <v>1</v>
      </c>
      <c r="N68" s="2" t="n">
        <v>1</v>
      </c>
    </row>
    <row r="69" customFormat="false" ht="15" hidden="false" customHeight="false" outlineLevel="0" collapsed="false">
      <c r="A69" s="2" t="s">
        <v>69</v>
      </c>
      <c r="B69" s="2" t="s">
        <v>309</v>
      </c>
      <c r="C69" s="2" t="s">
        <v>305</v>
      </c>
      <c r="D69" s="2" t="s">
        <v>292</v>
      </c>
      <c r="E69" s="2" t="s">
        <v>293</v>
      </c>
      <c r="F69" s="2" t="s">
        <v>307</v>
      </c>
      <c r="G69" s="2" t="s">
        <v>317</v>
      </c>
      <c r="H69" s="2" t="s">
        <v>314</v>
      </c>
      <c r="I69" s="2" t="s">
        <v>303</v>
      </c>
      <c r="J69" s="2" t="s">
        <v>298</v>
      </c>
      <c r="K69" s="7" t="n">
        <v>200</v>
      </c>
      <c r="L69" s="5" t="n">
        <v>1.88281</v>
      </c>
      <c r="M69" s="2" t="n">
        <v>1</v>
      </c>
      <c r="N69" s="2" t="n">
        <v>1</v>
      </c>
    </row>
    <row r="70" customFormat="false" ht="15" hidden="false" customHeight="false" outlineLevel="0" collapsed="false">
      <c r="A70" s="2" t="s">
        <v>70</v>
      </c>
      <c r="B70" s="2" t="s">
        <v>309</v>
      </c>
      <c r="C70" s="2" t="s">
        <v>305</v>
      </c>
      <c r="D70" s="2" t="s">
        <v>292</v>
      </c>
      <c r="E70" s="2" t="s">
        <v>293</v>
      </c>
      <c r="F70" s="2" t="s">
        <v>307</v>
      </c>
      <c r="G70" s="2" t="s">
        <v>317</v>
      </c>
      <c r="H70" s="2" t="s">
        <v>314</v>
      </c>
      <c r="I70" s="2" t="s">
        <v>303</v>
      </c>
      <c r="J70" s="2" t="s">
        <v>298</v>
      </c>
      <c r="K70" s="7" t="n">
        <v>186</v>
      </c>
      <c r="L70" s="5" t="n">
        <v>1.56079</v>
      </c>
      <c r="M70" s="2" t="n">
        <v>1</v>
      </c>
      <c r="N70" s="2" t="n">
        <v>1</v>
      </c>
    </row>
    <row r="71" customFormat="false" ht="15" hidden="false" customHeight="false" outlineLevel="0" collapsed="false">
      <c r="A71" s="2" t="s">
        <v>71</v>
      </c>
      <c r="B71" s="2" t="s">
        <v>309</v>
      </c>
      <c r="C71" s="2" t="s">
        <v>305</v>
      </c>
      <c r="D71" s="2" t="s">
        <v>292</v>
      </c>
      <c r="E71" s="2" t="s">
        <v>293</v>
      </c>
      <c r="F71" s="2" t="s">
        <v>307</v>
      </c>
      <c r="G71" s="2" t="s">
        <v>317</v>
      </c>
      <c r="H71" s="2" t="s">
        <v>314</v>
      </c>
      <c r="I71" s="2" t="s">
        <v>303</v>
      </c>
      <c r="J71" s="2" t="s">
        <v>298</v>
      </c>
      <c r="K71" s="7" t="n">
        <v>412</v>
      </c>
      <c r="L71" s="5" t="n">
        <v>1.35076</v>
      </c>
      <c r="M71" s="2" t="n">
        <v>1</v>
      </c>
      <c r="N71" s="2" t="n">
        <v>1</v>
      </c>
    </row>
    <row r="72" customFormat="false" ht="15" hidden="false" customHeight="false" outlineLevel="0" collapsed="false">
      <c r="A72" s="2" t="s">
        <v>72</v>
      </c>
      <c r="B72" s="2" t="s">
        <v>309</v>
      </c>
      <c r="C72" s="2" t="s">
        <v>305</v>
      </c>
      <c r="D72" s="2" t="s">
        <v>292</v>
      </c>
      <c r="E72" s="2" t="s">
        <v>293</v>
      </c>
      <c r="F72" s="2" t="s">
        <v>307</v>
      </c>
      <c r="G72" s="2" t="s">
        <v>317</v>
      </c>
      <c r="H72" s="2" t="s">
        <v>314</v>
      </c>
      <c r="I72" s="2" t="s">
        <v>310</v>
      </c>
      <c r="J72" s="2" t="s">
        <v>298</v>
      </c>
      <c r="K72" s="7" t="n">
        <v>250</v>
      </c>
      <c r="L72" s="5" t="n">
        <v>2.85208</v>
      </c>
      <c r="M72" s="2" t="n">
        <v>1</v>
      </c>
      <c r="N72" s="2" t="n">
        <v>1</v>
      </c>
    </row>
    <row r="73" customFormat="false" ht="15" hidden="false" customHeight="false" outlineLevel="0" collapsed="false">
      <c r="A73" s="2" t="s">
        <v>73</v>
      </c>
      <c r="B73" s="2" t="s">
        <v>309</v>
      </c>
      <c r="C73" s="2" t="s">
        <v>305</v>
      </c>
      <c r="D73" s="2" t="s">
        <v>292</v>
      </c>
      <c r="E73" s="2" t="s">
        <v>293</v>
      </c>
      <c r="F73" s="2" t="s">
        <v>307</v>
      </c>
      <c r="G73" s="2" t="s">
        <v>317</v>
      </c>
      <c r="H73" s="2" t="s">
        <v>314</v>
      </c>
      <c r="I73" s="2" t="s">
        <v>310</v>
      </c>
      <c r="J73" s="2" t="s">
        <v>298</v>
      </c>
      <c r="K73" s="7" t="n">
        <v>295</v>
      </c>
      <c r="L73" s="5" t="n">
        <v>1.82809</v>
      </c>
      <c r="M73" s="2" t="n">
        <v>1</v>
      </c>
      <c r="N73" s="2" t="n">
        <v>1</v>
      </c>
    </row>
    <row r="74" customFormat="false" ht="15" hidden="false" customHeight="false" outlineLevel="0" collapsed="false">
      <c r="A74" s="2" t="s">
        <v>74</v>
      </c>
      <c r="B74" s="2" t="s">
        <v>304</v>
      </c>
      <c r="C74" s="2" t="s">
        <v>305</v>
      </c>
      <c r="D74" s="2" t="s">
        <v>306</v>
      </c>
      <c r="E74" s="2" t="s">
        <v>293</v>
      </c>
      <c r="F74" s="2" t="s">
        <v>307</v>
      </c>
      <c r="G74" s="2" t="s">
        <v>308</v>
      </c>
      <c r="H74" s="2" t="s">
        <v>296</v>
      </c>
      <c r="I74" s="2" t="s">
        <v>310</v>
      </c>
      <c r="J74" s="2" t="s">
        <v>320</v>
      </c>
      <c r="K74" s="7" t="n">
        <v>200</v>
      </c>
      <c r="L74" s="5" t="n">
        <v>0.887965</v>
      </c>
      <c r="M74" s="2" t="n">
        <v>1</v>
      </c>
      <c r="N74" s="2" t="n">
        <v>1</v>
      </c>
    </row>
    <row r="75" customFormat="false" ht="15" hidden="false" customHeight="false" outlineLevel="0" collapsed="false">
      <c r="A75" s="2" t="s">
        <v>75</v>
      </c>
      <c r="B75" s="2" t="s">
        <v>309</v>
      </c>
      <c r="C75" s="2" t="s">
        <v>323</v>
      </c>
      <c r="D75" s="2" t="s">
        <v>321</v>
      </c>
      <c r="E75" s="2" t="s">
        <v>293</v>
      </c>
      <c r="F75" s="2" t="s">
        <v>307</v>
      </c>
      <c r="G75" s="2" t="s">
        <v>317</v>
      </c>
      <c r="H75" s="2" t="s">
        <v>314</v>
      </c>
      <c r="I75" s="2" t="s">
        <v>310</v>
      </c>
      <c r="J75" s="2" t="s">
        <v>298</v>
      </c>
      <c r="K75" s="7" t="n">
        <v>430</v>
      </c>
      <c r="L75" s="5" t="n">
        <v>1.64221</v>
      </c>
      <c r="M75" s="2" t="n">
        <v>1</v>
      </c>
      <c r="N75" s="2" t="n">
        <v>1</v>
      </c>
    </row>
    <row r="76" customFormat="false" ht="15" hidden="false" customHeight="false" outlineLevel="0" collapsed="false">
      <c r="A76" s="2" t="s">
        <v>76</v>
      </c>
      <c r="B76" s="2" t="s">
        <v>304</v>
      </c>
      <c r="C76" s="2"/>
      <c r="D76" s="2"/>
      <c r="E76" s="2"/>
      <c r="F76" s="2" t="s">
        <v>307</v>
      </c>
      <c r="G76" s="2" t="s">
        <v>313</v>
      </c>
      <c r="H76" s="2" t="s">
        <v>314</v>
      </c>
      <c r="I76" s="2" t="s">
        <v>297</v>
      </c>
      <c r="J76" s="2" t="s">
        <v>298</v>
      </c>
      <c r="K76" s="7" t="n">
        <v>100</v>
      </c>
      <c r="L76" s="5" t="n">
        <v>2.03752</v>
      </c>
      <c r="M76" s="2" t="n">
        <v>1</v>
      </c>
      <c r="N76" s="2"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U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151" min="3" style="0" width="15"/>
  </cols>
  <sheetData>
    <row r="1" customFormat="false" ht="48" hidden="false" customHeight="true" outlineLevel="0" collapsed="false">
      <c r="A1" s="1" t="s">
        <v>0</v>
      </c>
      <c r="B1" s="1" t="s">
        <v>1</v>
      </c>
      <c r="C1" s="1" t="s">
        <v>2</v>
      </c>
      <c r="D1" s="1" t="s">
        <v>3</v>
      </c>
      <c r="E1" s="1" t="s">
        <v>4</v>
      </c>
      <c r="F1" s="1" t="s">
        <v>330</v>
      </c>
      <c r="G1" s="1" t="s">
        <v>331</v>
      </c>
      <c r="H1" s="1" t="s">
        <v>332</v>
      </c>
      <c r="I1" s="1" t="s">
        <v>5</v>
      </c>
      <c r="J1" s="1" t="s">
        <v>6</v>
      </c>
      <c r="K1" s="1" t="s">
        <v>333</v>
      </c>
      <c r="L1" s="1" t="s">
        <v>334</v>
      </c>
      <c r="M1" s="1" t="s">
        <v>7</v>
      </c>
      <c r="N1" s="1" t="s">
        <v>8</v>
      </c>
      <c r="O1" s="1" t="s">
        <v>9</v>
      </c>
      <c r="P1" s="1" t="s">
        <v>10</v>
      </c>
      <c r="Q1" s="1" t="s">
        <v>11</v>
      </c>
      <c r="R1" s="1" t="s">
        <v>12</v>
      </c>
      <c r="S1" s="1" t="s">
        <v>335</v>
      </c>
      <c r="T1" s="1" t="s">
        <v>336</v>
      </c>
      <c r="U1" s="1" t="s">
        <v>337</v>
      </c>
      <c r="V1" s="1" t="s">
        <v>338</v>
      </c>
      <c r="W1" s="1" t="s">
        <v>13</v>
      </c>
      <c r="X1" s="1" t="s">
        <v>339</v>
      </c>
      <c r="Y1" s="1" t="s">
        <v>14</v>
      </c>
      <c r="Z1" s="1" t="s">
        <v>15</v>
      </c>
      <c r="AA1" s="1" t="s">
        <v>340</v>
      </c>
      <c r="AB1" s="1" t="s">
        <v>16</v>
      </c>
      <c r="AC1" s="1" t="s">
        <v>17</v>
      </c>
      <c r="AD1" s="1" t="s">
        <v>18</v>
      </c>
      <c r="AE1" s="1" t="s">
        <v>19</v>
      </c>
      <c r="AF1" s="1" t="s">
        <v>341</v>
      </c>
      <c r="AG1" s="1" t="s">
        <v>20</v>
      </c>
      <c r="AH1" s="1" t="s">
        <v>21</v>
      </c>
      <c r="AI1" s="1" t="s">
        <v>342</v>
      </c>
      <c r="AJ1" s="1" t="s">
        <v>343</v>
      </c>
      <c r="AK1" s="1" t="s">
        <v>344</v>
      </c>
      <c r="AL1" s="1" t="s">
        <v>345</v>
      </c>
      <c r="AM1" s="1" t="s">
        <v>346</v>
      </c>
      <c r="AN1" s="1" t="s">
        <v>347</v>
      </c>
      <c r="AO1" s="1" t="s">
        <v>22</v>
      </c>
      <c r="AP1" s="1" t="s">
        <v>23</v>
      </c>
      <c r="AQ1" s="1" t="s">
        <v>348</v>
      </c>
      <c r="AR1" s="1" t="s">
        <v>24</v>
      </c>
      <c r="AS1" s="1" t="s">
        <v>25</v>
      </c>
      <c r="AT1" s="1" t="s">
        <v>349</v>
      </c>
      <c r="AU1" s="1" t="s">
        <v>350</v>
      </c>
      <c r="AV1" s="1" t="s">
        <v>26</v>
      </c>
      <c r="AW1" s="1" t="s">
        <v>351</v>
      </c>
      <c r="AX1" s="1" t="s">
        <v>352</v>
      </c>
      <c r="AY1" s="1" t="s">
        <v>353</v>
      </c>
      <c r="AZ1" s="1" t="s">
        <v>354</v>
      </c>
      <c r="BA1" s="1" t="s">
        <v>355</v>
      </c>
      <c r="BB1" s="1" t="s">
        <v>27</v>
      </c>
      <c r="BC1" s="1" t="s">
        <v>28</v>
      </c>
      <c r="BD1" s="1" t="s">
        <v>356</v>
      </c>
      <c r="BE1" s="1" t="s">
        <v>29</v>
      </c>
      <c r="BF1" s="1" t="s">
        <v>357</v>
      </c>
      <c r="BG1" s="1" t="s">
        <v>358</v>
      </c>
      <c r="BH1" s="1" t="s">
        <v>30</v>
      </c>
      <c r="BI1" s="1" t="s">
        <v>31</v>
      </c>
      <c r="BJ1" s="1" t="s">
        <v>32</v>
      </c>
      <c r="BK1" s="1" t="s">
        <v>359</v>
      </c>
      <c r="BL1" s="1" t="s">
        <v>33</v>
      </c>
      <c r="BM1" s="1" t="s">
        <v>360</v>
      </c>
      <c r="BN1" s="1" t="s">
        <v>34</v>
      </c>
      <c r="BO1" s="1" t="s">
        <v>35</v>
      </c>
      <c r="BP1" s="1" t="s">
        <v>361</v>
      </c>
      <c r="BQ1" s="1" t="s">
        <v>362</v>
      </c>
      <c r="BR1" s="1" t="s">
        <v>363</v>
      </c>
      <c r="BS1" s="1" t="s">
        <v>364</v>
      </c>
      <c r="BT1" s="1" t="s">
        <v>365</v>
      </c>
      <c r="BU1" s="1" t="s">
        <v>366</v>
      </c>
      <c r="BV1" s="1" t="s">
        <v>36</v>
      </c>
      <c r="BW1" s="1" t="s">
        <v>37</v>
      </c>
      <c r="BX1" s="1" t="s">
        <v>367</v>
      </c>
      <c r="BY1" s="1" t="s">
        <v>38</v>
      </c>
      <c r="BZ1" s="1" t="s">
        <v>39</v>
      </c>
      <c r="CA1" s="1" t="s">
        <v>368</v>
      </c>
      <c r="CB1" s="1" t="s">
        <v>369</v>
      </c>
      <c r="CC1" s="1" t="s">
        <v>40</v>
      </c>
      <c r="CD1" s="1" t="s">
        <v>41</v>
      </c>
      <c r="CE1" s="1" t="s">
        <v>370</v>
      </c>
      <c r="CF1" s="1" t="s">
        <v>371</v>
      </c>
      <c r="CG1" s="1" t="s">
        <v>372</v>
      </c>
      <c r="CH1" s="1" t="s">
        <v>42</v>
      </c>
      <c r="CI1" s="1" t="s">
        <v>373</v>
      </c>
      <c r="CJ1" s="1" t="s">
        <v>43</v>
      </c>
      <c r="CK1" s="1" t="s">
        <v>374</v>
      </c>
      <c r="CL1" s="1" t="s">
        <v>375</v>
      </c>
      <c r="CM1" s="1" t="s">
        <v>44</v>
      </c>
      <c r="CN1" s="1" t="s">
        <v>376</v>
      </c>
      <c r="CO1" s="1" t="s">
        <v>45</v>
      </c>
      <c r="CP1" s="1" t="s">
        <v>377</v>
      </c>
      <c r="CQ1" s="1" t="s">
        <v>378</v>
      </c>
      <c r="CR1" s="1" t="s">
        <v>46</v>
      </c>
      <c r="CS1" s="1" t="s">
        <v>379</v>
      </c>
      <c r="CT1" s="1" t="s">
        <v>47</v>
      </c>
      <c r="CU1" s="1" t="s">
        <v>48</v>
      </c>
      <c r="CV1" s="1" t="s">
        <v>380</v>
      </c>
      <c r="CW1" s="1" t="s">
        <v>381</v>
      </c>
      <c r="CX1" s="1" t="s">
        <v>49</v>
      </c>
      <c r="CY1" s="1" t="s">
        <v>50</v>
      </c>
      <c r="CZ1" s="1" t="s">
        <v>51</v>
      </c>
      <c r="DA1" s="1" t="s">
        <v>382</v>
      </c>
      <c r="DB1" s="1" t="s">
        <v>52</v>
      </c>
      <c r="DC1" s="1" t="s">
        <v>53</v>
      </c>
      <c r="DD1" s="1" t="s">
        <v>54</v>
      </c>
      <c r="DE1" s="1" t="s">
        <v>55</v>
      </c>
      <c r="DF1" s="1" t="s">
        <v>383</v>
      </c>
      <c r="DG1" s="1" t="s">
        <v>384</v>
      </c>
      <c r="DH1" s="1" t="s">
        <v>56</v>
      </c>
      <c r="DI1" s="1" t="s">
        <v>57</v>
      </c>
      <c r="DJ1" s="1" t="s">
        <v>58</v>
      </c>
      <c r="DK1" s="1" t="s">
        <v>59</v>
      </c>
      <c r="DL1" s="1" t="s">
        <v>60</v>
      </c>
      <c r="DM1" s="1" t="s">
        <v>385</v>
      </c>
      <c r="DN1" s="1" t="s">
        <v>61</v>
      </c>
      <c r="DO1" s="1" t="s">
        <v>62</v>
      </c>
      <c r="DP1" s="1" t="s">
        <v>386</v>
      </c>
      <c r="DQ1" s="1" t="s">
        <v>387</v>
      </c>
      <c r="DR1" s="1" t="s">
        <v>63</v>
      </c>
      <c r="DS1" s="1" t="s">
        <v>64</v>
      </c>
      <c r="DT1" s="1" t="s">
        <v>388</v>
      </c>
      <c r="DU1" s="1" t="s">
        <v>389</v>
      </c>
      <c r="DV1" s="1" t="s">
        <v>65</v>
      </c>
      <c r="DW1" s="1" t="s">
        <v>390</v>
      </c>
      <c r="DX1" s="1" t="s">
        <v>66</v>
      </c>
      <c r="DY1" s="1" t="s">
        <v>67</v>
      </c>
      <c r="DZ1" s="1" t="s">
        <v>391</v>
      </c>
      <c r="EA1" s="1" t="s">
        <v>68</v>
      </c>
      <c r="EB1" s="1" t="s">
        <v>392</v>
      </c>
      <c r="EC1" s="1" t="s">
        <v>393</v>
      </c>
      <c r="ED1" s="1" t="s">
        <v>394</v>
      </c>
      <c r="EE1" s="1" t="s">
        <v>395</v>
      </c>
      <c r="EF1" s="1" t="s">
        <v>396</v>
      </c>
      <c r="EG1" s="1" t="s">
        <v>397</v>
      </c>
      <c r="EH1" s="1" t="s">
        <v>398</v>
      </c>
      <c r="EI1" s="1" t="s">
        <v>399</v>
      </c>
      <c r="EJ1" s="1" t="s">
        <v>69</v>
      </c>
      <c r="EK1" s="1" t="s">
        <v>70</v>
      </c>
      <c r="EL1" s="1" t="s">
        <v>71</v>
      </c>
      <c r="EM1" s="1" t="s">
        <v>72</v>
      </c>
      <c r="EN1" s="1" t="s">
        <v>73</v>
      </c>
      <c r="EO1" s="1" t="s">
        <v>74</v>
      </c>
      <c r="EP1" s="1" t="s">
        <v>75</v>
      </c>
      <c r="EQ1" s="1" t="s">
        <v>400</v>
      </c>
      <c r="ER1" s="1" t="s">
        <v>401</v>
      </c>
      <c r="ES1" s="1" t="s">
        <v>76</v>
      </c>
      <c r="ET1" s="1" t="s">
        <v>402</v>
      </c>
      <c r="EU1" s="1" t="s">
        <v>403</v>
      </c>
    </row>
    <row r="2" customFormat="false" ht="15" hidden="false" customHeight="false" outlineLevel="0" collapsed="false">
      <c r="A2" s="2" t="s">
        <v>77</v>
      </c>
      <c r="B2" s="2" t="s">
        <v>78</v>
      </c>
      <c r="C2" s="2" t="n">
        <v>0</v>
      </c>
      <c r="D2" s="2" t="n">
        <v>0</v>
      </c>
      <c r="E2" s="2" t="n">
        <v>0</v>
      </c>
      <c r="F2" s="2" t="n">
        <v>0</v>
      </c>
      <c r="G2" s="2" t="n">
        <v>1</v>
      </c>
      <c r="H2" s="2" t="n">
        <v>0</v>
      </c>
      <c r="I2" s="2" t="n">
        <v>0</v>
      </c>
      <c r="J2" s="2" t="n">
        <v>0</v>
      </c>
      <c r="K2" s="2" t="n">
        <v>0</v>
      </c>
      <c r="L2" s="2" t="n">
        <v>0</v>
      </c>
      <c r="M2" s="2" t="n">
        <v>0</v>
      </c>
      <c r="N2" s="2" t="n">
        <v>0</v>
      </c>
      <c r="O2" s="2" t="n">
        <v>0</v>
      </c>
      <c r="P2" s="2" t="n">
        <v>0</v>
      </c>
      <c r="Q2" s="2" t="n">
        <v>0</v>
      </c>
      <c r="R2" s="2" t="n">
        <v>0</v>
      </c>
      <c r="S2" s="2" t="n">
        <v>0</v>
      </c>
      <c r="T2" s="2" t="n">
        <v>0</v>
      </c>
      <c r="U2" s="2" t="n">
        <v>0</v>
      </c>
      <c r="V2" s="2" t="n">
        <v>0</v>
      </c>
      <c r="W2" s="2" t="n">
        <v>0</v>
      </c>
      <c r="X2" s="2" t="n">
        <v>0</v>
      </c>
      <c r="Y2" s="2" t="n">
        <v>0</v>
      </c>
      <c r="Z2" s="2" t="n">
        <v>0</v>
      </c>
      <c r="AA2" s="2" t="n">
        <v>0</v>
      </c>
      <c r="AB2" s="2" t="n">
        <v>0</v>
      </c>
      <c r="AC2" s="2" t="n">
        <v>0</v>
      </c>
      <c r="AD2" s="2" t="n">
        <v>0</v>
      </c>
      <c r="AE2" s="2" t="n">
        <v>0</v>
      </c>
      <c r="AF2" s="2" t="n">
        <v>7</v>
      </c>
      <c r="AG2" s="2" t="n">
        <v>20</v>
      </c>
      <c r="AH2" s="2" t="n">
        <v>0</v>
      </c>
      <c r="AI2" s="2" t="n">
        <v>1</v>
      </c>
      <c r="AJ2" s="2" t="n">
        <v>0</v>
      </c>
      <c r="AK2" s="2" t="n">
        <v>0</v>
      </c>
      <c r="AL2" s="2" t="n">
        <v>0</v>
      </c>
      <c r="AM2" s="2" t="n">
        <v>58</v>
      </c>
      <c r="AN2" s="2" t="n">
        <v>0</v>
      </c>
      <c r="AO2" s="2" t="n">
        <v>0</v>
      </c>
      <c r="AP2" s="2" t="n">
        <v>1</v>
      </c>
      <c r="AQ2" s="2" t="n">
        <v>0</v>
      </c>
      <c r="AR2" s="2" t="n">
        <v>0</v>
      </c>
      <c r="AS2" s="2" t="n">
        <v>0</v>
      </c>
      <c r="AT2" s="2" t="n">
        <v>0</v>
      </c>
      <c r="AU2" s="2" t="n">
        <v>0</v>
      </c>
      <c r="AV2" s="2" t="n">
        <v>0</v>
      </c>
      <c r="AW2" s="2" t="n">
        <v>0</v>
      </c>
      <c r="AX2" s="2" t="n">
        <v>0</v>
      </c>
      <c r="AY2" s="2" t="n">
        <v>0</v>
      </c>
      <c r="AZ2" s="2" t="n">
        <v>0</v>
      </c>
      <c r="BA2" s="2" t="n">
        <v>27</v>
      </c>
      <c r="BB2" s="2" t="n">
        <v>0</v>
      </c>
      <c r="BC2" s="2" t="n">
        <v>0</v>
      </c>
      <c r="BD2" s="2" t="n">
        <v>0</v>
      </c>
      <c r="BE2" s="2" t="n">
        <v>0</v>
      </c>
      <c r="BF2" s="2" t="n">
        <v>0</v>
      </c>
      <c r="BG2" s="2" t="n">
        <v>0</v>
      </c>
      <c r="BH2" s="2" t="n">
        <v>0</v>
      </c>
      <c r="BI2" s="2" t="n">
        <v>0</v>
      </c>
      <c r="BJ2" s="2" t="n">
        <v>0</v>
      </c>
      <c r="BK2" s="2" t="n">
        <v>0</v>
      </c>
      <c r="BL2" s="2" t="n">
        <v>1</v>
      </c>
      <c r="BM2" s="2" t="n">
        <v>0</v>
      </c>
      <c r="BN2" s="2" t="n">
        <v>0</v>
      </c>
      <c r="BO2" s="2" t="n">
        <v>0</v>
      </c>
      <c r="BP2" s="2" t="n">
        <v>50</v>
      </c>
      <c r="BQ2" s="2" t="n">
        <v>3</v>
      </c>
      <c r="BR2" s="2" t="n">
        <v>11</v>
      </c>
      <c r="BS2" s="2" t="n">
        <v>0</v>
      </c>
      <c r="BT2" s="2" t="n">
        <v>10</v>
      </c>
      <c r="BU2" s="2" t="n">
        <v>0</v>
      </c>
      <c r="BV2" s="2" t="n">
        <v>0</v>
      </c>
      <c r="BW2" s="2" t="n">
        <v>0</v>
      </c>
      <c r="BX2" s="2" t="n">
        <v>141</v>
      </c>
      <c r="BY2" s="2" t="n">
        <v>0</v>
      </c>
      <c r="BZ2" s="2" t="n">
        <v>0</v>
      </c>
      <c r="CA2" s="2" t="n">
        <v>0</v>
      </c>
      <c r="CB2" s="2" t="n">
        <v>0</v>
      </c>
      <c r="CC2" s="2" t="n">
        <v>0</v>
      </c>
      <c r="CD2" s="2" t="n">
        <v>0</v>
      </c>
      <c r="CE2" s="2" t="n">
        <v>0</v>
      </c>
      <c r="CF2" s="2" t="n">
        <v>0</v>
      </c>
      <c r="CG2" s="2" t="n">
        <v>145</v>
      </c>
      <c r="CH2" s="2" t="n">
        <v>43</v>
      </c>
      <c r="CI2" s="2" t="n">
        <v>0</v>
      </c>
      <c r="CJ2" s="2" t="n">
        <v>0</v>
      </c>
      <c r="CK2" s="2" t="n">
        <v>0</v>
      </c>
      <c r="CL2" s="2" t="n">
        <v>1</v>
      </c>
      <c r="CM2" s="2" t="n">
        <v>0</v>
      </c>
      <c r="CN2" s="2" t="n">
        <v>10</v>
      </c>
      <c r="CO2" s="2" t="n">
        <v>30</v>
      </c>
      <c r="CP2" s="2" t="n">
        <v>0</v>
      </c>
      <c r="CQ2" s="2" t="n">
        <v>0</v>
      </c>
      <c r="CR2" s="2" t="n">
        <v>0</v>
      </c>
      <c r="CS2" s="2" t="n">
        <v>0</v>
      </c>
      <c r="CT2" s="2" t="n">
        <v>0</v>
      </c>
      <c r="CU2" s="2" t="n">
        <v>0</v>
      </c>
      <c r="CV2" s="2" t="n">
        <v>0</v>
      </c>
      <c r="CW2" s="2" t="n">
        <v>7</v>
      </c>
      <c r="CX2" s="2" t="n">
        <v>0</v>
      </c>
      <c r="CY2" s="2" t="n">
        <v>0</v>
      </c>
      <c r="CZ2" s="2" t="n">
        <v>0</v>
      </c>
      <c r="DA2" s="2" t="n">
        <v>0</v>
      </c>
      <c r="DB2" s="2" t="n">
        <v>0</v>
      </c>
      <c r="DC2" s="2" t="n">
        <v>1</v>
      </c>
      <c r="DD2" s="2" t="n">
        <v>0</v>
      </c>
      <c r="DE2" s="2" t="n">
        <v>0</v>
      </c>
      <c r="DF2" s="2" t="n">
        <v>0</v>
      </c>
      <c r="DG2" s="2" t="n">
        <v>23</v>
      </c>
      <c r="DH2" s="2" t="n">
        <v>0</v>
      </c>
      <c r="DI2" s="2" t="n">
        <v>2</v>
      </c>
      <c r="DJ2" s="2" t="n">
        <v>0</v>
      </c>
      <c r="DK2" s="2" t="n">
        <v>0</v>
      </c>
      <c r="DL2" s="2" t="n">
        <v>0</v>
      </c>
      <c r="DM2" s="2" t="n">
        <v>0</v>
      </c>
      <c r="DN2" s="2" t="n">
        <v>0</v>
      </c>
      <c r="DO2" s="2" t="n">
        <v>0</v>
      </c>
      <c r="DP2" s="2" t="n">
        <v>1</v>
      </c>
      <c r="DQ2" s="2" t="n">
        <v>0</v>
      </c>
      <c r="DR2" s="2" t="n">
        <v>0</v>
      </c>
      <c r="DS2" s="2" t="n">
        <v>0</v>
      </c>
      <c r="DT2" s="2" t="n">
        <v>4</v>
      </c>
      <c r="DU2" s="2" t="n">
        <v>32</v>
      </c>
      <c r="DV2" s="2" t="n">
        <v>0</v>
      </c>
      <c r="DW2" s="2" t="n">
        <v>1</v>
      </c>
      <c r="DX2" s="2" t="n">
        <v>0</v>
      </c>
      <c r="DY2" s="2" t="n">
        <v>0</v>
      </c>
      <c r="DZ2" s="2" t="n">
        <v>22</v>
      </c>
      <c r="EA2" s="2" t="n">
        <v>0</v>
      </c>
      <c r="EB2" s="2" t="n">
        <v>0</v>
      </c>
      <c r="EC2" s="2" t="n">
        <v>0</v>
      </c>
      <c r="ED2" s="2" t="n">
        <v>0</v>
      </c>
      <c r="EE2" s="2" t="n">
        <v>0</v>
      </c>
      <c r="EF2" s="2" t="n">
        <v>0</v>
      </c>
      <c r="EG2" s="2" t="n">
        <v>2</v>
      </c>
      <c r="EH2" s="2" t="n">
        <v>0</v>
      </c>
      <c r="EI2" s="2" t="n">
        <v>0</v>
      </c>
      <c r="EJ2" s="2" t="n">
        <v>0</v>
      </c>
      <c r="EK2" s="2" t="n">
        <v>0</v>
      </c>
      <c r="EL2" s="2" t="n">
        <v>0</v>
      </c>
      <c r="EM2" s="2" t="n">
        <v>0</v>
      </c>
      <c r="EN2" s="2" t="n">
        <v>0</v>
      </c>
      <c r="EO2" s="2" t="n">
        <v>0</v>
      </c>
      <c r="EP2" s="2" t="n">
        <v>0</v>
      </c>
      <c r="EQ2" s="2" t="n">
        <v>14</v>
      </c>
      <c r="ER2" s="2" t="n">
        <v>0</v>
      </c>
      <c r="ES2" s="2" t="n">
        <v>0</v>
      </c>
      <c r="ET2" s="2" t="n">
        <v>0</v>
      </c>
      <c r="EU2" s="2" t="n">
        <v>0</v>
      </c>
    </row>
    <row r="3" customFormat="false" ht="15" hidden="false" customHeight="false" outlineLevel="0" collapsed="false">
      <c r="A3" s="2" t="s">
        <v>79</v>
      </c>
      <c r="B3" s="2" t="s">
        <v>78</v>
      </c>
      <c r="C3" s="2" t="n">
        <v>0</v>
      </c>
      <c r="D3" s="2" t="n">
        <v>0</v>
      </c>
      <c r="E3" s="2" t="n">
        <v>0</v>
      </c>
      <c r="F3" s="2" t="n">
        <v>0</v>
      </c>
      <c r="G3" s="2" t="n">
        <v>0</v>
      </c>
      <c r="H3" s="2" t="n">
        <v>0</v>
      </c>
      <c r="I3" s="2" t="n">
        <v>0</v>
      </c>
      <c r="J3" s="2" t="n">
        <v>0</v>
      </c>
      <c r="K3" s="2" t="n">
        <v>0</v>
      </c>
      <c r="L3" s="2" t="n">
        <v>0</v>
      </c>
      <c r="M3" s="2" t="n">
        <v>0</v>
      </c>
      <c r="N3" s="2" t="n">
        <v>0</v>
      </c>
      <c r="O3" s="2" t="n">
        <v>8</v>
      </c>
      <c r="P3" s="2" t="n">
        <v>0</v>
      </c>
      <c r="Q3" s="2" t="n">
        <v>0</v>
      </c>
      <c r="R3" s="2" t="n">
        <v>0</v>
      </c>
      <c r="S3" s="2" t="n">
        <v>0</v>
      </c>
      <c r="T3" s="2" t="n">
        <v>0</v>
      </c>
      <c r="U3" s="2" t="n">
        <v>0</v>
      </c>
      <c r="V3" s="2" t="n">
        <v>0</v>
      </c>
      <c r="W3" s="2" t="n">
        <v>0</v>
      </c>
      <c r="X3" s="2" t="n">
        <v>0</v>
      </c>
      <c r="Y3" s="2" t="n">
        <v>0</v>
      </c>
      <c r="Z3" s="2" t="n">
        <v>1</v>
      </c>
      <c r="AA3" s="2" t="n">
        <v>0</v>
      </c>
      <c r="AB3" s="2" t="n">
        <v>0</v>
      </c>
      <c r="AC3" s="2" t="n">
        <v>0</v>
      </c>
      <c r="AD3" s="2" t="n">
        <v>0</v>
      </c>
      <c r="AE3" s="2" t="n">
        <v>0</v>
      </c>
      <c r="AF3" s="2" t="n">
        <v>0</v>
      </c>
      <c r="AG3" s="2" t="n">
        <v>0</v>
      </c>
      <c r="AH3" s="2" t="n">
        <v>0</v>
      </c>
      <c r="AI3" s="2" t="n">
        <v>0</v>
      </c>
      <c r="AJ3" s="2" t="n">
        <v>1</v>
      </c>
      <c r="AK3" s="2" t="n">
        <v>0</v>
      </c>
      <c r="AL3" s="2" t="n">
        <v>0</v>
      </c>
      <c r="AM3" s="2" t="n">
        <v>0</v>
      </c>
      <c r="AN3" s="2" t="n">
        <v>1</v>
      </c>
      <c r="AO3" s="2" t="n">
        <v>0</v>
      </c>
      <c r="AP3" s="2" t="n">
        <v>0</v>
      </c>
      <c r="AQ3" s="2" t="n">
        <v>0</v>
      </c>
      <c r="AR3" s="2" t="n">
        <v>0</v>
      </c>
      <c r="AS3" s="2" t="n">
        <v>0</v>
      </c>
      <c r="AT3" s="2" t="n">
        <v>0</v>
      </c>
      <c r="AU3" s="2" t="n">
        <v>1</v>
      </c>
      <c r="AV3" s="2" t="n">
        <v>0</v>
      </c>
      <c r="AW3" s="2" t="n">
        <v>0</v>
      </c>
      <c r="AX3" s="2" t="n">
        <v>1</v>
      </c>
      <c r="AY3" s="2" t="n">
        <v>1</v>
      </c>
      <c r="AZ3" s="2" t="n">
        <v>0</v>
      </c>
      <c r="BA3" s="2" t="n">
        <v>1</v>
      </c>
      <c r="BB3" s="2" t="n">
        <v>0</v>
      </c>
      <c r="BC3" s="2" t="n">
        <v>0</v>
      </c>
      <c r="BD3" s="2" t="n">
        <v>0</v>
      </c>
      <c r="BE3" s="2" t="n">
        <v>0</v>
      </c>
      <c r="BF3" s="2" t="n">
        <v>0</v>
      </c>
      <c r="BG3" s="2" t="n">
        <v>0</v>
      </c>
      <c r="BH3" s="2" t="n">
        <v>0</v>
      </c>
      <c r="BI3" s="2" t="n">
        <v>0</v>
      </c>
      <c r="BJ3" s="2" t="n">
        <v>1</v>
      </c>
      <c r="BK3" s="2" t="n">
        <v>1</v>
      </c>
      <c r="BL3" s="2" t="n">
        <v>0</v>
      </c>
      <c r="BM3" s="2" t="n">
        <v>1</v>
      </c>
      <c r="BN3" s="2" t="n">
        <v>0</v>
      </c>
      <c r="BO3" s="2" t="n">
        <v>0</v>
      </c>
      <c r="BP3" s="2" t="n">
        <v>0</v>
      </c>
      <c r="BQ3" s="2" t="n">
        <v>1</v>
      </c>
      <c r="BR3" s="2" t="n">
        <v>0</v>
      </c>
      <c r="BS3" s="2" t="n">
        <v>0</v>
      </c>
      <c r="BT3" s="2" t="n">
        <v>0</v>
      </c>
      <c r="BU3" s="2" t="n">
        <v>0</v>
      </c>
      <c r="BV3" s="2" t="n">
        <v>1</v>
      </c>
      <c r="BW3" s="2" t="n">
        <v>0</v>
      </c>
      <c r="BX3" s="2" t="n">
        <v>3</v>
      </c>
      <c r="BY3" s="2" t="n">
        <v>0</v>
      </c>
      <c r="BZ3" s="2" t="n">
        <v>0</v>
      </c>
      <c r="CA3" s="2" t="n">
        <v>0</v>
      </c>
      <c r="CB3" s="2" t="n">
        <v>1</v>
      </c>
      <c r="CC3" s="2" t="n">
        <v>0</v>
      </c>
      <c r="CD3" s="2" t="n">
        <v>0</v>
      </c>
      <c r="CE3" s="2" t="n">
        <v>0</v>
      </c>
      <c r="CF3" s="2" t="n">
        <v>0</v>
      </c>
      <c r="CG3" s="2" t="n">
        <v>1</v>
      </c>
      <c r="CH3" s="2" t="n">
        <v>0</v>
      </c>
      <c r="CI3" s="2" t="n">
        <v>0</v>
      </c>
      <c r="CJ3" s="2" t="n">
        <v>1</v>
      </c>
      <c r="CK3" s="2" t="n">
        <v>0</v>
      </c>
      <c r="CL3" s="2" t="n">
        <v>0</v>
      </c>
      <c r="CM3" s="2" t="n">
        <v>0</v>
      </c>
      <c r="CN3" s="2" t="n">
        <v>0</v>
      </c>
      <c r="CO3" s="2" t="n">
        <v>0</v>
      </c>
      <c r="CP3" s="2" t="n">
        <v>0</v>
      </c>
      <c r="CQ3" s="2" t="n">
        <v>0</v>
      </c>
      <c r="CR3" s="2" t="n">
        <v>0</v>
      </c>
      <c r="CS3" s="2" t="n">
        <v>5</v>
      </c>
      <c r="CT3" s="2" t="n">
        <v>15</v>
      </c>
      <c r="CU3" s="2" t="n">
        <v>0</v>
      </c>
      <c r="CV3" s="2" t="n">
        <v>0</v>
      </c>
      <c r="CW3" s="2" t="n">
        <v>0</v>
      </c>
      <c r="CX3" s="2" t="n">
        <v>0</v>
      </c>
      <c r="CY3" s="2" t="n">
        <v>42</v>
      </c>
      <c r="CZ3" s="2" t="n">
        <v>0</v>
      </c>
      <c r="DA3" s="2" t="n">
        <v>0</v>
      </c>
      <c r="DB3" s="2" t="n">
        <v>0</v>
      </c>
      <c r="DC3" s="2" t="n">
        <v>0</v>
      </c>
      <c r="DD3" s="2" t="n">
        <v>0</v>
      </c>
      <c r="DE3" s="2" t="n">
        <v>0</v>
      </c>
      <c r="DF3" s="2" t="n">
        <v>0</v>
      </c>
      <c r="DG3" s="2" t="n">
        <v>0</v>
      </c>
      <c r="DH3" s="2" t="n">
        <v>0</v>
      </c>
      <c r="DI3" s="2" t="n">
        <v>25</v>
      </c>
      <c r="DJ3" s="2" t="n">
        <v>4</v>
      </c>
      <c r="DK3" s="2" t="n">
        <v>0</v>
      </c>
      <c r="DL3" s="2" t="n">
        <v>0</v>
      </c>
      <c r="DM3" s="2" t="n">
        <v>25</v>
      </c>
      <c r="DN3" s="2" t="n">
        <v>0</v>
      </c>
      <c r="DO3" s="2" t="n">
        <v>0</v>
      </c>
      <c r="DP3" s="2" t="n">
        <v>0</v>
      </c>
      <c r="DQ3" s="2" t="n">
        <v>0</v>
      </c>
      <c r="DR3" s="2" t="n">
        <v>0</v>
      </c>
      <c r="DS3" s="2" t="n">
        <v>0</v>
      </c>
      <c r="DT3" s="2" t="n">
        <v>1</v>
      </c>
      <c r="DU3" s="2" t="n">
        <v>0</v>
      </c>
      <c r="DV3" s="2" t="n">
        <v>0</v>
      </c>
      <c r="DW3" s="2" t="n">
        <v>17</v>
      </c>
      <c r="DX3" s="2" t="n">
        <v>4</v>
      </c>
      <c r="DY3" s="2" t="n">
        <v>4</v>
      </c>
      <c r="DZ3" s="2" t="n">
        <v>0</v>
      </c>
      <c r="EA3" s="2" t="n">
        <v>0</v>
      </c>
      <c r="EB3" s="2" t="n">
        <v>0</v>
      </c>
      <c r="EC3" s="2" t="n">
        <v>0</v>
      </c>
      <c r="ED3" s="2" t="n">
        <v>1</v>
      </c>
      <c r="EE3" s="2" t="n">
        <v>0</v>
      </c>
      <c r="EF3" s="2" t="n">
        <v>0</v>
      </c>
      <c r="EG3" s="2" t="n">
        <v>0</v>
      </c>
      <c r="EH3" s="2" t="n">
        <v>0</v>
      </c>
      <c r="EI3" s="2" t="n">
        <v>0</v>
      </c>
      <c r="EJ3" s="2" t="n">
        <v>0</v>
      </c>
      <c r="EK3" s="2" t="n">
        <v>0</v>
      </c>
      <c r="EL3" s="2" t="n">
        <v>0</v>
      </c>
      <c r="EM3" s="2" t="n">
        <v>0</v>
      </c>
      <c r="EN3" s="2" t="n">
        <v>0</v>
      </c>
      <c r="EO3" s="2" t="n">
        <v>4</v>
      </c>
      <c r="EP3" s="2" t="n">
        <v>0</v>
      </c>
      <c r="EQ3" s="2" t="n">
        <v>0</v>
      </c>
      <c r="ER3" s="2" t="n">
        <v>4</v>
      </c>
      <c r="ES3" s="2" t="n">
        <v>2</v>
      </c>
      <c r="ET3" s="2" t="n">
        <v>0</v>
      </c>
      <c r="EU3" s="2" t="n">
        <v>0</v>
      </c>
    </row>
    <row r="4" customFormat="false" ht="15" hidden="false" customHeight="false" outlineLevel="0" collapsed="false">
      <c r="A4" s="2" t="s">
        <v>80</v>
      </c>
      <c r="B4" s="2" t="s">
        <v>78</v>
      </c>
      <c r="C4" s="2" t="n">
        <v>0</v>
      </c>
      <c r="D4" s="2" t="n">
        <v>0</v>
      </c>
      <c r="E4" s="2" t="n">
        <v>0</v>
      </c>
      <c r="F4" s="2" t="n">
        <v>0</v>
      </c>
      <c r="G4" s="2" t="n">
        <v>0</v>
      </c>
      <c r="H4" s="2" t="n">
        <v>1</v>
      </c>
      <c r="I4" s="2" t="n">
        <v>0</v>
      </c>
      <c r="J4" s="2" t="n">
        <v>1</v>
      </c>
      <c r="K4" s="2" t="n">
        <v>0</v>
      </c>
      <c r="L4" s="2" t="n">
        <v>9</v>
      </c>
      <c r="M4" s="2" t="n">
        <v>1</v>
      </c>
      <c r="N4" s="2" t="n">
        <v>0</v>
      </c>
      <c r="O4" s="2" t="n">
        <v>14</v>
      </c>
      <c r="P4" s="2" t="n">
        <v>7</v>
      </c>
      <c r="Q4" s="2" t="n">
        <v>0</v>
      </c>
      <c r="R4" s="2" t="n">
        <v>0</v>
      </c>
      <c r="S4" s="2" t="n">
        <v>0</v>
      </c>
      <c r="T4" s="2" t="n">
        <v>0</v>
      </c>
      <c r="U4" s="2" t="n">
        <v>3</v>
      </c>
      <c r="V4" s="2" t="n">
        <v>0</v>
      </c>
      <c r="W4" s="2" t="n">
        <v>0</v>
      </c>
      <c r="X4" s="2" t="n">
        <v>0</v>
      </c>
      <c r="Y4" s="2" t="n">
        <v>0</v>
      </c>
      <c r="Z4" s="2" t="n">
        <v>2</v>
      </c>
      <c r="AA4" s="2" t="n">
        <v>0</v>
      </c>
      <c r="AB4" s="2" t="n">
        <v>0</v>
      </c>
      <c r="AC4" s="2" t="n">
        <v>0</v>
      </c>
      <c r="AD4" s="2" t="n">
        <v>0</v>
      </c>
      <c r="AE4" s="2" t="n">
        <v>0</v>
      </c>
      <c r="AF4" s="2" t="n">
        <v>0</v>
      </c>
      <c r="AG4" s="2" t="n">
        <v>0</v>
      </c>
      <c r="AH4" s="2" t="n">
        <v>0</v>
      </c>
      <c r="AI4" s="2" t="n">
        <v>2</v>
      </c>
      <c r="AJ4" s="2" t="n">
        <v>2</v>
      </c>
      <c r="AK4" s="2" t="n">
        <v>0</v>
      </c>
      <c r="AL4" s="2" t="n">
        <v>0</v>
      </c>
      <c r="AM4" s="2" t="n">
        <v>0</v>
      </c>
      <c r="AN4" s="2" t="n">
        <v>0</v>
      </c>
      <c r="AO4" s="2" t="n">
        <v>0</v>
      </c>
      <c r="AP4" s="2" t="n">
        <v>0</v>
      </c>
      <c r="AQ4" s="2" t="n">
        <v>0</v>
      </c>
      <c r="AR4" s="2" t="n">
        <v>0</v>
      </c>
      <c r="AS4" s="2" t="n">
        <v>10</v>
      </c>
      <c r="AT4" s="2" t="n">
        <v>0</v>
      </c>
      <c r="AU4" s="2" t="n">
        <v>5</v>
      </c>
      <c r="AV4" s="2" t="n">
        <v>0</v>
      </c>
      <c r="AW4" s="2" t="n">
        <v>0</v>
      </c>
      <c r="AX4" s="2" t="n">
        <v>0</v>
      </c>
      <c r="AY4" s="2" t="n">
        <v>0</v>
      </c>
      <c r="AZ4" s="2" t="n">
        <v>0</v>
      </c>
      <c r="BA4" s="2" t="n">
        <v>0</v>
      </c>
      <c r="BB4" s="2" t="n">
        <v>0</v>
      </c>
      <c r="BC4" s="2" t="n">
        <v>0</v>
      </c>
      <c r="BD4" s="2" t="n">
        <v>0</v>
      </c>
      <c r="BE4" s="2" t="n">
        <v>0</v>
      </c>
      <c r="BF4" s="2" t="n">
        <v>0</v>
      </c>
      <c r="BG4" s="2" t="n">
        <v>0</v>
      </c>
      <c r="BH4" s="2" t="n">
        <v>0</v>
      </c>
      <c r="BI4" s="2" t="n">
        <v>4</v>
      </c>
      <c r="BJ4" s="2" t="n">
        <v>0</v>
      </c>
      <c r="BK4" s="2" t="n">
        <v>0</v>
      </c>
      <c r="BL4" s="2" t="n">
        <v>1</v>
      </c>
      <c r="BM4" s="2" t="n">
        <v>0</v>
      </c>
      <c r="BN4" s="2" t="n">
        <v>1</v>
      </c>
      <c r="BO4" s="2" t="n">
        <v>1</v>
      </c>
      <c r="BP4" s="2" t="n">
        <v>0</v>
      </c>
      <c r="BQ4" s="2" t="n">
        <v>0</v>
      </c>
      <c r="BR4" s="2" t="n">
        <v>0</v>
      </c>
      <c r="BS4" s="2" t="n">
        <v>12</v>
      </c>
      <c r="BT4" s="2" t="n">
        <v>0</v>
      </c>
      <c r="BU4" s="2" t="n">
        <v>0</v>
      </c>
      <c r="BV4" s="2" t="n">
        <v>0</v>
      </c>
      <c r="BW4" s="2" t="n">
        <v>0</v>
      </c>
      <c r="BX4" s="2" t="n">
        <v>0</v>
      </c>
      <c r="BY4" s="2" t="n">
        <v>2</v>
      </c>
      <c r="BZ4" s="2" t="n">
        <v>1</v>
      </c>
      <c r="CA4" s="2" t="n">
        <v>0</v>
      </c>
      <c r="CB4" s="2" t="n">
        <v>0</v>
      </c>
      <c r="CC4" s="2" t="n">
        <v>0</v>
      </c>
      <c r="CD4" s="2" t="n">
        <v>0</v>
      </c>
      <c r="CE4" s="2" t="n">
        <v>0</v>
      </c>
      <c r="CF4" s="2" t="n">
        <v>0</v>
      </c>
      <c r="CG4" s="2" t="n">
        <v>0</v>
      </c>
      <c r="CH4" s="2" t="n">
        <v>0</v>
      </c>
      <c r="CI4" s="2" t="n">
        <v>0</v>
      </c>
      <c r="CJ4" s="2" t="n">
        <v>0</v>
      </c>
      <c r="CK4" s="2" t="n">
        <v>0</v>
      </c>
      <c r="CL4" s="2" t="n">
        <v>2</v>
      </c>
      <c r="CM4" s="2" t="n">
        <v>0</v>
      </c>
      <c r="CN4" s="2" t="n">
        <v>0</v>
      </c>
      <c r="CO4" s="2" t="n">
        <v>0</v>
      </c>
      <c r="CP4" s="2" t="n">
        <v>0</v>
      </c>
      <c r="CQ4" s="2" t="n">
        <v>0</v>
      </c>
      <c r="CR4" s="2" t="n">
        <v>1</v>
      </c>
      <c r="CS4" s="2" t="n">
        <v>0</v>
      </c>
      <c r="CT4" s="2" t="n">
        <v>0</v>
      </c>
      <c r="CU4" s="2" t="n">
        <v>0</v>
      </c>
      <c r="CV4" s="2" t="n">
        <v>0</v>
      </c>
      <c r="CW4" s="2" t="n">
        <v>0</v>
      </c>
      <c r="CX4" s="2" t="n">
        <v>0</v>
      </c>
      <c r="CY4" s="2" t="n">
        <v>0</v>
      </c>
      <c r="CZ4" s="2" t="n">
        <v>0</v>
      </c>
      <c r="DA4" s="2" t="n">
        <v>0</v>
      </c>
      <c r="DB4" s="2" t="n">
        <v>0</v>
      </c>
      <c r="DC4" s="2" t="n">
        <v>2</v>
      </c>
      <c r="DD4" s="2" t="n">
        <v>9</v>
      </c>
      <c r="DE4" s="2" t="n">
        <v>1</v>
      </c>
      <c r="DF4" s="2" t="n">
        <v>0</v>
      </c>
      <c r="DG4" s="2" t="n">
        <v>0</v>
      </c>
      <c r="DH4" s="2" t="n">
        <v>0</v>
      </c>
      <c r="DI4" s="2" t="n">
        <v>0</v>
      </c>
      <c r="DJ4" s="2" t="n">
        <v>1</v>
      </c>
      <c r="DK4" s="2" t="n">
        <v>0</v>
      </c>
      <c r="DL4" s="2" t="n">
        <v>4</v>
      </c>
      <c r="DM4" s="2" t="n">
        <v>0</v>
      </c>
      <c r="DN4" s="2" t="n">
        <v>0</v>
      </c>
      <c r="DO4" s="2" t="n">
        <v>0</v>
      </c>
      <c r="DP4" s="2" t="n">
        <v>0</v>
      </c>
      <c r="DQ4" s="2" t="n">
        <v>0</v>
      </c>
      <c r="DR4" s="2" t="n">
        <v>0</v>
      </c>
      <c r="DS4" s="2" t="n">
        <v>1</v>
      </c>
      <c r="DT4" s="2" t="n">
        <v>0</v>
      </c>
      <c r="DU4" s="2" t="n">
        <v>0</v>
      </c>
      <c r="DV4" s="2" t="n">
        <v>1</v>
      </c>
      <c r="DW4" s="2" t="n">
        <v>2</v>
      </c>
      <c r="DX4" s="2" t="n">
        <v>0</v>
      </c>
      <c r="DY4" s="2" t="n">
        <v>0</v>
      </c>
      <c r="DZ4" s="2" t="n">
        <v>0</v>
      </c>
      <c r="EA4" s="2" t="n">
        <v>0</v>
      </c>
      <c r="EB4" s="2" t="n">
        <v>0</v>
      </c>
      <c r="EC4" s="2" t="n">
        <v>1</v>
      </c>
      <c r="ED4" s="2" t="n">
        <v>0</v>
      </c>
      <c r="EE4" s="2" t="n">
        <v>0</v>
      </c>
      <c r="EF4" s="2" t="n">
        <v>0</v>
      </c>
      <c r="EG4" s="2" t="n">
        <v>0</v>
      </c>
      <c r="EH4" s="2" t="n">
        <v>0</v>
      </c>
      <c r="EI4" s="2" t="n">
        <v>0</v>
      </c>
      <c r="EJ4" s="2" t="n">
        <v>0</v>
      </c>
      <c r="EK4" s="2" t="n">
        <v>1</v>
      </c>
      <c r="EL4" s="2" t="n">
        <v>1</v>
      </c>
      <c r="EM4" s="2" t="n">
        <v>0</v>
      </c>
      <c r="EN4" s="2" t="n">
        <v>0</v>
      </c>
      <c r="EO4" s="2" t="n">
        <v>0</v>
      </c>
      <c r="EP4" s="2" t="n">
        <v>0</v>
      </c>
      <c r="EQ4" s="2" t="n">
        <v>0</v>
      </c>
      <c r="ER4" s="2" t="n">
        <v>0</v>
      </c>
      <c r="ES4" s="2" t="n">
        <v>0</v>
      </c>
      <c r="ET4" s="2" t="n">
        <v>0</v>
      </c>
      <c r="EU4" s="2" t="n">
        <v>1</v>
      </c>
    </row>
    <row r="5" customFormat="false" ht="15" hidden="false" customHeight="false" outlineLevel="0" collapsed="false">
      <c r="A5" s="2" t="s">
        <v>81</v>
      </c>
      <c r="B5" s="2" t="s">
        <v>78</v>
      </c>
      <c r="C5" s="2" t="n">
        <v>0</v>
      </c>
      <c r="D5" s="2" t="n">
        <v>0</v>
      </c>
      <c r="E5" s="2" t="n">
        <v>0</v>
      </c>
      <c r="F5" s="2" t="n">
        <v>0</v>
      </c>
      <c r="G5" s="2" t="n">
        <v>0</v>
      </c>
      <c r="H5" s="2" t="n">
        <v>0</v>
      </c>
      <c r="I5" s="2" t="n">
        <v>0</v>
      </c>
      <c r="J5" s="2" t="n">
        <v>0</v>
      </c>
      <c r="K5" s="2" t="n">
        <v>0</v>
      </c>
      <c r="L5" s="2" t="n">
        <v>0</v>
      </c>
      <c r="M5" s="2" t="n">
        <v>0</v>
      </c>
      <c r="N5" s="2" t="n">
        <v>0</v>
      </c>
      <c r="O5" s="2" t="n">
        <v>0</v>
      </c>
      <c r="P5" s="2" t="n">
        <v>0</v>
      </c>
      <c r="Q5" s="2" t="n">
        <v>0</v>
      </c>
      <c r="R5" s="2" t="n">
        <v>0</v>
      </c>
      <c r="S5" s="2" t="n">
        <v>0</v>
      </c>
      <c r="T5" s="2" t="n">
        <v>0</v>
      </c>
      <c r="U5" s="2" t="n">
        <v>0</v>
      </c>
      <c r="V5" s="2" t="n">
        <v>0</v>
      </c>
      <c r="W5" s="2" t="n">
        <v>1</v>
      </c>
      <c r="X5" s="2" t="n">
        <v>0</v>
      </c>
      <c r="Y5" s="2" t="n">
        <v>0</v>
      </c>
      <c r="Z5" s="2" t="n">
        <v>7</v>
      </c>
      <c r="AA5" s="2" t="n">
        <v>0</v>
      </c>
      <c r="AB5" s="2" t="n">
        <v>0</v>
      </c>
      <c r="AC5" s="2" t="n">
        <v>0</v>
      </c>
      <c r="AD5" s="2" t="n">
        <v>0</v>
      </c>
      <c r="AE5" s="2" t="n">
        <v>0</v>
      </c>
      <c r="AF5" s="2" t="n">
        <v>0</v>
      </c>
      <c r="AG5" s="2" t="n">
        <v>0</v>
      </c>
      <c r="AH5" s="2" t="n">
        <v>0</v>
      </c>
      <c r="AI5" s="2" t="n">
        <v>0</v>
      </c>
      <c r="AJ5" s="2" t="n">
        <v>0</v>
      </c>
      <c r="AK5" s="2" t="n">
        <v>0</v>
      </c>
      <c r="AL5" s="2" t="n">
        <v>0</v>
      </c>
      <c r="AM5" s="2" t="n">
        <v>0</v>
      </c>
      <c r="AN5" s="2" t="n">
        <v>0</v>
      </c>
      <c r="AO5" s="2" t="n">
        <v>0</v>
      </c>
      <c r="AP5" s="2" t="n">
        <v>0</v>
      </c>
      <c r="AQ5" s="2" t="n">
        <v>0</v>
      </c>
      <c r="AR5" s="2" t="n">
        <v>0</v>
      </c>
      <c r="AS5" s="2" t="n">
        <v>1</v>
      </c>
      <c r="AT5" s="2" t="n">
        <v>0</v>
      </c>
      <c r="AU5" s="2" t="n">
        <v>0</v>
      </c>
      <c r="AV5" s="2" t="n">
        <v>0</v>
      </c>
      <c r="AW5" s="2" t="n">
        <v>2</v>
      </c>
      <c r="AX5" s="2" t="n">
        <v>0</v>
      </c>
      <c r="AY5" s="2" t="n">
        <v>0</v>
      </c>
      <c r="AZ5" s="2" t="n">
        <v>0</v>
      </c>
      <c r="BA5" s="2" t="n">
        <v>0</v>
      </c>
      <c r="BB5" s="2" t="n">
        <v>0</v>
      </c>
      <c r="BC5" s="2" t="n">
        <v>0</v>
      </c>
      <c r="BD5" s="2" t="n">
        <v>0</v>
      </c>
      <c r="BE5" s="2" t="n">
        <v>0</v>
      </c>
      <c r="BF5" s="2" t="n">
        <v>0</v>
      </c>
      <c r="BG5" s="2" t="n">
        <v>0</v>
      </c>
      <c r="BH5" s="2" t="n">
        <v>0</v>
      </c>
      <c r="BI5" s="2" t="n">
        <v>0</v>
      </c>
      <c r="BJ5" s="2" t="n">
        <v>0</v>
      </c>
      <c r="BK5" s="2" t="n">
        <v>0</v>
      </c>
      <c r="BL5" s="2" t="n">
        <v>0</v>
      </c>
      <c r="BM5" s="2" t="n">
        <v>0</v>
      </c>
      <c r="BN5" s="2" t="n">
        <v>0</v>
      </c>
      <c r="BO5" s="2" t="n">
        <v>0</v>
      </c>
      <c r="BP5" s="2" t="n">
        <v>0</v>
      </c>
      <c r="BQ5" s="2" t="n">
        <v>0</v>
      </c>
      <c r="BR5" s="2" t="n">
        <v>0</v>
      </c>
      <c r="BS5" s="2" t="n">
        <v>0</v>
      </c>
      <c r="BT5" s="2" t="n">
        <v>0</v>
      </c>
      <c r="BU5" s="2" t="n">
        <v>0</v>
      </c>
      <c r="BV5" s="2" t="n">
        <v>0</v>
      </c>
      <c r="BW5" s="2" t="n">
        <v>0</v>
      </c>
      <c r="BX5" s="2" t="n">
        <v>0</v>
      </c>
      <c r="BY5" s="2" t="n">
        <v>0</v>
      </c>
      <c r="BZ5" s="2" t="n">
        <v>0</v>
      </c>
      <c r="CA5" s="2" t="n">
        <v>0</v>
      </c>
      <c r="CB5" s="2" t="n">
        <v>0</v>
      </c>
      <c r="CC5" s="2" t="n">
        <v>0</v>
      </c>
      <c r="CD5" s="2" t="n">
        <v>1</v>
      </c>
      <c r="CE5" s="2" t="n">
        <v>1</v>
      </c>
      <c r="CF5" s="2" t="n">
        <v>0</v>
      </c>
      <c r="CG5" s="2" t="n">
        <v>0</v>
      </c>
      <c r="CH5" s="2" t="n">
        <v>0</v>
      </c>
      <c r="CI5" s="2" t="n">
        <v>0</v>
      </c>
      <c r="CJ5" s="2" t="n">
        <v>0</v>
      </c>
      <c r="CK5" s="2" t="n">
        <v>0</v>
      </c>
      <c r="CL5" s="2" t="n">
        <v>0</v>
      </c>
      <c r="CM5" s="2" t="n">
        <v>0</v>
      </c>
      <c r="CN5" s="2" t="n">
        <v>0</v>
      </c>
      <c r="CO5" s="2" t="n">
        <v>4</v>
      </c>
      <c r="CP5" s="2" t="n">
        <v>0</v>
      </c>
      <c r="CQ5" s="2" t="n">
        <v>0</v>
      </c>
      <c r="CR5" s="2" t="n">
        <v>0</v>
      </c>
      <c r="CS5" s="2" t="n">
        <v>0</v>
      </c>
      <c r="CT5" s="2" t="n">
        <v>0</v>
      </c>
      <c r="CU5" s="2" t="n">
        <v>0</v>
      </c>
      <c r="CV5" s="2" t="n">
        <v>0</v>
      </c>
      <c r="CW5" s="2" t="n">
        <v>0</v>
      </c>
      <c r="CX5" s="2" t="n">
        <v>0</v>
      </c>
      <c r="CY5" s="2" t="n">
        <v>0</v>
      </c>
      <c r="CZ5" s="2" t="n">
        <v>0</v>
      </c>
      <c r="DA5" s="2" t="n">
        <v>0</v>
      </c>
      <c r="DB5" s="2" t="n">
        <v>0</v>
      </c>
      <c r="DC5" s="2" t="n">
        <v>0</v>
      </c>
      <c r="DD5" s="2" t="n">
        <v>0</v>
      </c>
      <c r="DE5" s="2" t="n">
        <v>0</v>
      </c>
      <c r="DF5" s="2" t="n">
        <v>0</v>
      </c>
      <c r="DG5" s="2" t="n">
        <v>0</v>
      </c>
      <c r="DH5" s="2" t="n">
        <v>0</v>
      </c>
      <c r="DI5" s="2" t="n">
        <v>0</v>
      </c>
      <c r="DJ5" s="2" t="n">
        <v>0</v>
      </c>
      <c r="DK5" s="2" t="n">
        <v>0</v>
      </c>
      <c r="DL5" s="2" t="n">
        <v>0</v>
      </c>
      <c r="DM5" s="2" t="n">
        <v>0</v>
      </c>
      <c r="DN5" s="2" t="n">
        <v>0</v>
      </c>
      <c r="DO5" s="2" t="n">
        <v>0</v>
      </c>
      <c r="DP5" s="2" t="n">
        <v>0</v>
      </c>
      <c r="DQ5" s="2" t="n">
        <v>0</v>
      </c>
      <c r="DR5" s="2" t="n">
        <v>1</v>
      </c>
      <c r="DS5" s="2" t="n">
        <v>0</v>
      </c>
      <c r="DT5" s="2" t="n">
        <v>0</v>
      </c>
      <c r="DU5" s="2" t="n">
        <v>0</v>
      </c>
      <c r="DV5" s="2" t="n">
        <v>0</v>
      </c>
      <c r="DW5" s="2" t="n">
        <v>0</v>
      </c>
      <c r="DX5" s="2" t="n">
        <v>0</v>
      </c>
      <c r="DY5" s="2" t="n">
        <v>2</v>
      </c>
      <c r="DZ5" s="2" t="n">
        <v>0</v>
      </c>
      <c r="EA5" s="2" t="n">
        <v>0</v>
      </c>
      <c r="EB5" s="2" t="n">
        <v>0</v>
      </c>
      <c r="EC5" s="2" t="n">
        <v>0</v>
      </c>
      <c r="ED5" s="2" t="n">
        <v>0</v>
      </c>
      <c r="EE5" s="2" t="n">
        <v>0</v>
      </c>
      <c r="EF5" s="2" t="n">
        <v>0</v>
      </c>
      <c r="EG5" s="2" t="n">
        <v>0</v>
      </c>
      <c r="EH5" s="2" t="n">
        <v>0</v>
      </c>
      <c r="EI5" s="2" t="n">
        <v>0</v>
      </c>
      <c r="EJ5" s="2" t="n">
        <v>0</v>
      </c>
      <c r="EK5" s="2" t="n">
        <v>0</v>
      </c>
      <c r="EL5" s="2" t="n">
        <v>0</v>
      </c>
      <c r="EM5" s="2" t="n">
        <v>2</v>
      </c>
      <c r="EN5" s="2" t="n">
        <v>0</v>
      </c>
      <c r="EO5" s="2" t="n">
        <v>0</v>
      </c>
      <c r="EP5" s="2" t="n">
        <v>2</v>
      </c>
      <c r="EQ5" s="2" t="n">
        <v>0</v>
      </c>
      <c r="ER5" s="2" t="n">
        <v>0</v>
      </c>
      <c r="ES5" s="2" t="n">
        <v>0</v>
      </c>
      <c r="ET5" s="2" t="n">
        <v>0</v>
      </c>
      <c r="EU5" s="2" t="n">
        <v>0</v>
      </c>
    </row>
    <row r="6" customFormat="false" ht="15" hidden="false" customHeight="false" outlineLevel="0" collapsed="false">
      <c r="A6" s="2" t="s">
        <v>82</v>
      </c>
      <c r="B6" s="2" t="s">
        <v>78</v>
      </c>
      <c r="C6" s="2" t="n">
        <v>0</v>
      </c>
      <c r="D6" s="2" t="n">
        <v>0</v>
      </c>
      <c r="E6" s="2" t="n">
        <v>0</v>
      </c>
      <c r="F6" s="2" t="n">
        <v>0</v>
      </c>
      <c r="G6" s="2" t="n">
        <v>0</v>
      </c>
      <c r="H6" s="2" t="n">
        <v>0</v>
      </c>
      <c r="I6" s="2" t="n">
        <v>2</v>
      </c>
      <c r="J6" s="2" t="n">
        <v>0</v>
      </c>
      <c r="K6" s="2" t="n">
        <v>1</v>
      </c>
      <c r="L6" s="2" t="n">
        <v>245</v>
      </c>
      <c r="M6" s="2" t="n">
        <v>0</v>
      </c>
      <c r="N6" s="2" t="n">
        <v>0</v>
      </c>
      <c r="O6" s="2" t="n">
        <v>1</v>
      </c>
      <c r="P6" s="2" t="n">
        <v>2</v>
      </c>
      <c r="Q6" s="2" t="n">
        <v>0</v>
      </c>
      <c r="R6" s="2" t="n">
        <v>0</v>
      </c>
      <c r="S6" s="2" t="n">
        <v>1</v>
      </c>
      <c r="T6" s="2" t="n">
        <v>0</v>
      </c>
      <c r="U6" s="2" t="n">
        <v>0</v>
      </c>
      <c r="V6" s="2" t="n">
        <v>1</v>
      </c>
      <c r="W6" s="2" t="n">
        <v>0</v>
      </c>
      <c r="X6" s="2" t="n">
        <v>0</v>
      </c>
      <c r="Y6" s="2" t="n">
        <v>0</v>
      </c>
      <c r="Z6" s="2" t="n">
        <v>0</v>
      </c>
      <c r="AA6" s="2" t="n">
        <v>1</v>
      </c>
      <c r="AB6" s="2" t="n">
        <v>0</v>
      </c>
      <c r="AC6" s="2" t="n">
        <v>1</v>
      </c>
      <c r="AD6" s="2" t="n">
        <v>0</v>
      </c>
      <c r="AE6" s="2" t="n">
        <v>0</v>
      </c>
      <c r="AF6" s="2" t="n">
        <v>0</v>
      </c>
      <c r="AG6" s="2" t="n">
        <v>0</v>
      </c>
      <c r="AH6" s="2" t="n">
        <v>0</v>
      </c>
      <c r="AI6" s="2" t="n">
        <v>0</v>
      </c>
      <c r="AJ6" s="2" t="n">
        <v>2</v>
      </c>
      <c r="AK6" s="2" t="n">
        <v>0</v>
      </c>
      <c r="AL6" s="2" t="n">
        <v>0</v>
      </c>
      <c r="AM6" s="2" t="n">
        <v>0</v>
      </c>
      <c r="AN6" s="2" t="n">
        <v>0</v>
      </c>
      <c r="AO6" s="2" t="n">
        <v>0</v>
      </c>
      <c r="AP6" s="2" t="n">
        <v>0</v>
      </c>
      <c r="AQ6" s="2" t="n">
        <v>3</v>
      </c>
      <c r="AR6" s="2" t="n">
        <v>0</v>
      </c>
      <c r="AS6" s="2" t="n">
        <v>0</v>
      </c>
      <c r="AT6" s="2" t="n">
        <v>0</v>
      </c>
      <c r="AU6" s="2" t="n">
        <v>0</v>
      </c>
      <c r="AV6" s="2" t="n">
        <v>0</v>
      </c>
      <c r="AW6" s="2" t="n">
        <v>0</v>
      </c>
      <c r="AX6" s="2" t="n">
        <v>1</v>
      </c>
      <c r="AY6" s="2" t="n">
        <v>0</v>
      </c>
      <c r="AZ6" s="2" t="n">
        <v>0</v>
      </c>
      <c r="BA6" s="2" t="n">
        <v>0</v>
      </c>
      <c r="BB6" s="2" t="n">
        <v>0</v>
      </c>
      <c r="BC6" s="2" t="n">
        <v>0</v>
      </c>
      <c r="BD6" s="2" t="n">
        <v>0</v>
      </c>
      <c r="BE6" s="2" t="n">
        <v>0</v>
      </c>
      <c r="BF6" s="2" t="n">
        <v>0</v>
      </c>
      <c r="BG6" s="2" t="n">
        <v>0</v>
      </c>
      <c r="BH6" s="2" t="n">
        <v>0</v>
      </c>
      <c r="BI6" s="2" t="n">
        <v>0</v>
      </c>
      <c r="BJ6" s="2" t="n">
        <v>0</v>
      </c>
      <c r="BK6" s="2" t="n">
        <v>0</v>
      </c>
      <c r="BL6" s="2" t="n">
        <v>1</v>
      </c>
      <c r="BM6" s="2" t="n">
        <v>0</v>
      </c>
      <c r="BN6" s="2" t="n">
        <v>0</v>
      </c>
      <c r="BO6" s="2" t="n">
        <v>0</v>
      </c>
      <c r="BP6" s="2" t="n">
        <v>0</v>
      </c>
      <c r="BQ6" s="2" t="n">
        <v>0</v>
      </c>
      <c r="BR6" s="2" t="n">
        <v>0</v>
      </c>
      <c r="BS6" s="2" t="n">
        <v>0</v>
      </c>
      <c r="BT6" s="2" t="n">
        <v>0</v>
      </c>
      <c r="BU6" s="2" t="n">
        <v>0</v>
      </c>
      <c r="BV6" s="2" t="n">
        <v>0</v>
      </c>
      <c r="BW6" s="2" t="n">
        <v>0</v>
      </c>
      <c r="BX6" s="2" t="n">
        <v>0</v>
      </c>
      <c r="BY6" s="2" t="n">
        <v>1</v>
      </c>
      <c r="BZ6" s="2" t="n">
        <v>0</v>
      </c>
      <c r="CA6" s="2" t="n">
        <v>2</v>
      </c>
      <c r="CB6" s="2" t="n">
        <v>0</v>
      </c>
      <c r="CC6" s="2" t="n">
        <v>0</v>
      </c>
      <c r="CD6" s="2" t="n">
        <v>0</v>
      </c>
      <c r="CE6" s="2" t="n">
        <v>0</v>
      </c>
      <c r="CF6" s="2" t="n">
        <v>0</v>
      </c>
      <c r="CG6" s="2" t="n">
        <v>0</v>
      </c>
      <c r="CH6" s="2" t="n">
        <v>0</v>
      </c>
      <c r="CI6" s="2" t="n">
        <v>0</v>
      </c>
      <c r="CJ6" s="2" t="n">
        <v>0</v>
      </c>
      <c r="CK6" s="2" t="n">
        <v>0</v>
      </c>
      <c r="CL6" s="2" t="n">
        <v>0</v>
      </c>
      <c r="CM6" s="2" t="n">
        <v>1</v>
      </c>
      <c r="CN6" s="2" t="n">
        <v>0</v>
      </c>
      <c r="CO6" s="2" t="n">
        <v>0</v>
      </c>
      <c r="CP6" s="2" t="n">
        <v>0</v>
      </c>
      <c r="CQ6" s="2" t="n">
        <v>2</v>
      </c>
      <c r="CR6" s="2" t="n">
        <v>0</v>
      </c>
      <c r="CS6" s="2" t="n">
        <v>0</v>
      </c>
      <c r="CT6" s="2" t="n">
        <v>1</v>
      </c>
      <c r="CU6" s="2" t="n">
        <v>0</v>
      </c>
      <c r="CV6" s="2" t="n">
        <v>0</v>
      </c>
      <c r="CW6" s="2" t="n">
        <v>0</v>
      </c>
      <c r="CX6" s="2" t="n">
        <v>0</v>
      </c>
      <c r="CY6" s="2" t="n">
        <v>23</v>
      </c>
      <c r="CZ6" s="2" t="n">
        <v>0</v>
      </c>
      <c r="DA6" s="2" t="n">
        <v>0</v>
      </c>
      <c r="DB6" s="2" t="n">
        <v>0</v>
      </c>
      <c r="DC6" s="2" t="n">
        <v>0</v>
      </c>
      <c r="DD6" s="2" t="n">
        <v>3</v>
      </c>
      <c r="DE6" s="2" t="n">
        <v>0</v>
      </c>
      <c r="DF6" s="2" t="n">
        <v>0</v>
      </c>
      <c r="DG6" s="2" t="n">
        <v>0</v>
      </c>
      <c r="DH6" s="2" t="n">
        <v>0</v>
      </c>
      <c r="DI6" s="2" t="n">
        <v>5</v>
      </c>
      <c r="DJ6" s="2" t="n">
        <v>24</v>
      </c>
      <c r="DK6" s="2" t="n">
        <v>0</v>
      </c>
      <c r="DL6" s="2" t="n">
        <v>0</v>
      </c>
      <c r="DM6" s="2" t="n">
        <v>3</v>
      </c>
      <c r="DN6" s="2" t="n">
        <v>1</v>
      </c>
      <c r="DO6" s="2" t="n">
        <v>0</v>
      </c>
      <c r="DP6" s="2" t="n">
        <v>0</v>
      </c>
      <c r="DQ6" s="2" t="n">
        <v>0</v>
      </c>
      <c r="DR6" s="2" t="n">
        <v>0</v>
      </c>
      <c r="DS6" s="2" t="n">
        <v>0</v>
      </c>
      <c r="DT6" s="2" t="n">
        <v>0</v>
      </c>
      <c r="DU6" s="2" t="n">
        <v>0</v>
      </c>
      <c r="DV6" s="2" t="n">
        <v>0</v>
      </c>
      <c r="DW6" s="2" t="n">
        <v>2</v>
      </c>
      <c r="DX6" s="2" t="n">
        <v>2</v>
      </c>
      <c r="DY6" s="2" t="n">
        <v>0</v>
      </c>
      <c r="DZ6" s="2" t="n">
        <v>0</v>
      </c>
      <c r="EA6" s="2" t="n">
        <v>0</v>
      </c>
      <c r="EB6" s="2" t="n">
        <v>0</v>
      </c>
      <c r="EC6" s="2" t="n">
        <v>0</v>
      </c>
      <c r="ED6" s="2" t="n">
        <v>0</v>
      </c>
      <c r="EE6" s="2" t="n">
        <v>0</v>
      </c>
      <c r="EF6" s="2" t="n">
        <v>0</v>
      </c>
      <c r="EG6" s="2" t="n">
        <v>0</v>
      </c>
      <c r="EH6" s="2" t="n">
        <v>1</v>
      </c>
      <c r="EI6" s="2" t="n">
        <v>3</v>
      </c>
      <c r="EJ6" s="2" t="n">
        <v>0</v>
      </c>
      <c r="EK6" s="2" t="n">
        <v>0</v>
      </c>
      <c r="EL6" s="2" t="n">
        <v>7</v>
      </c>
      <c r="EM6" s="2" t="n">
        <v>0</v>
      </c>
      <c r="EN6" s="2" t="n">
        <v>0</v>
      </c>
      <c r="EO6" s="2" t="n">
        <v>0</v>
      </c>
      <c r="EP6" s="2" t="n">
        <v>0</v>
      </c>
      <c r="EQ6" s="2" t="n">
        <v>0</v>
      </c>
      <c r="ER6" s="2" t="n">
        <v>0</v>
      </c>
      <c r="ES6" s="2" t="n">
        <v>0</v>
      </c>
      <c r="ET6" s="2" t="n">
        <v>0</v>
      </c>
      <c r="EU6" s="2" t="n">
        <v>0</v>
      </c>
    </row>
    <row r="7" customFormat="false" ht="15" hidden="false" customHeight="false" outlineLevel="0" collapsed="false">
      <c r="A7" s="2" t="s">
        <v>83</v>
      </c>
      <c r="B7" s="2" t="s">
        <v>78</v>
      </c>
      <c r="C7" s="2" t="n">
        <v>0</v>
      </c>
      <c r="D7" s="2" t="n">
        <v>0</v>
      </c>
      <c r="E7" s="2" t="n">
        <v>0</v>
      </c>
      <c r="F7" s="2" t="n">
        <v>0</v>
      </c>
      <c r="G7" s="2" t="n">
        <v>0</v>
      </c>
      <c r="H7" s="2" t="n">
        <v>0</v>
      </c>
      <c r="I7" s="2" t="n">
        <v>0</v>
      </c>
      <c r="J7" s="2" t="n">
        <v>2</v>
      </c>
      <c r="K7" s="2" t="n">
        <v>0</v>
      </c>
      <c r="L7" s="2" t="n">
        <v>0</v>
      </c>
      <c r="M7" s="2" t="n">
        <v>0</v>
      </c>
      <c r="N7" s="2" t="n">
        <v>0</v>
      </c>
      <c r="O7" s="2" t="n">
        <v>0</v>
      </c>
      <c r="P7" s="2" t="n">
        <v>0</v>
      </c>
      <c r="Q7" s="2" t="n">
        <v>0</v>
      </c>
      <c r="R7" s="2" t="n">
        <v>0</v>
      </c>
      <c r="S7" s="2" t="n">
        <v>0</v>
      </c>
      <c r="T7" s="2" t="n">
        <v>0</v>
      </c>
      <c r="U7" s="2" t="n">
        <v>0</v>
      </c>
      <c r="V7" s="2" t="n">
        <v>0</v>
      </c>
      <c r="W7" s="2" t="n">
        <v>0</v>
      </c>
      <c r="X7" s="2" t="n">
        <v>0</v>
      </c>
      <c r="Y7" s="2" t="n">
        <v>0</v>
      </c>
      <c r="Z7" s="2" t="n">
        <v>0</v>
      </c>
      <c r="AA7" s="2" t="n">
        <v>0</v>
      </c>
      <c r="AB7" s="2" t="n">
        <v>0</v>
      </c>
      <c r="AC7" s="2" t="n">
        <v>0</v>
      </c>
      <c r="AD7" s="2" t="n">
        <v>0</v>
      </c>
      <c r="AE7" s="2" t="n">
        <v>0</v>
      </c>
      <c r="AF7" s="2" t="n">
        <v>0</v>
      </c>
      <c r="AG7" s="2" t="n">
        <v>7</v>
      </c>
      <c r="AH7" s="2" t="n">
        <v>0</v>
      </c>
      <c r="AI7" s="2" t="n">
        <v>0</v>
      </c>
      <c r="AJ7" s="2" t="n">
        <v>0</v>
      </c>
      <c r="AK7" s="2" t="n">
        <v>0</v>
      </c>
      <c r="AL7" s="2" t="n">
        <v>0</v>
      </c>
      <c r="AM7" s="2" t="n">
        <v>0</v>
      </c>
      <c r="AN7" s="2" t="n">
        <v>1</v>
      </c>
      <c r="AO7" s="2" t="n">
        <v>0</v>
      </c>
      <c r="AP7" s="2" t="n">
        <v>0</v>
      </c>
      <c r="AQ7" s="2" t="n">
        <v>1</v>
      </c>
      <c r="AR7" s="2" t="n">
        <v>0</v>
      </c>
      <c r="AS7" s="2" t="n">
        <v>4</v>
      </c>
      <c r="AT7" s="2" t="n">
        <v>0</v>
      </c>
      <c r="AU7" s="2" t="n">
        <v>0</v>
      </c>
      <c r="AV7" s="2" t="n">
        <v>0</v>
      </c>
      <c r="AW7" s="2" t="n">
        <v>0</v>
      </c>
      <c r="AX7" s="2" t="n">
        <v>0</v>
      </c>
      <c r="AY7" s="2" t="n">
        <v>0</v>
      </c>
      <c r="AZ7" s="2" t="n">
        <v>0</v>
      </c>
      <c r="BA7" s="2" t="n">
        <v>0</v>
      </c>
      <c r="BB7" s="2" t="n">
        <v>0</v>
      </c>
      <c r="BC7" s="2" t="n">
        <v>4</v>
      </c>
      <c r="BD7" s="2" t="n">
        <v>0</v>
      </c>
      <c r="BE7" s="2" t="n">
        <v>0</v>
      </c>
      <c r="BF7" s="2" t="n">
        <v>0</v>
      </c>
      <c r="BG7" s="2" t="n">
        <v>0</v>
      </c>
      <c r="BH7" s="2" t="n">
        <v>0</v>
      </c>
      <c r="BI7" s="2" t="n">
        <v>0</v>
      </c>
      <c r="BJ7" s="2" t="n">
        <v>0</v>
      </c>
      <c r="BK7" s="2" t="n">
        <v>0</v>
      </c>
      <c r="BL7" s="2" t="n">
        <v>0</v>
      </c>
      <c r="BM7" s="2" t="n">
        <v>0</v>
      </c>
      <c r="BN7" s="2" t="n">
        <v>0</v>
      </c>
      <c r="BO7" s="2" t="n">
        <v>0</v>
      </c>
      <c r="BP7" s="2" t="n">
        <v>0</v>
      </c>
      <c r="BQ7" s="2" t="n">
        <v>0</v>
      </c>
      <c r="BR7" s="2" t="n">
        <v>0</v>
      </c>
      <c r="BS7" s="2" t="n">
        <v>0</v>
      </c>
      <c r="BT7" s="2" t="n">
        <v>0</v>
      </c>
      <c r="BU7" s="2" t="n">
        <v>0</v>
      </c>
      <c r="BV7" s="2" t="n">
        <v>0</v>
      </c>
      <c r="BW7" s="2" t="n">
        <v>3</v>
      </c>
      <c r="BX7" s="2" t="n">
        <v>0</v>
      </c>
      <c r="BY7" s="2" t="n">
        <v>0</v>
      </c>
      <c r="BZ7" s="2" t="n">
        <v>0</v>
      </c>
      <c r="CA7" s="2" t="n">
        <v>0</v>
      </c>
      <c r="CB7" s="2" t="n">
        <v>0</v>
      </c>
      <c r="CC7" s="2" t="n">
        <v>0</v>
      </c>
      <c r="CD7" s="2" t="n">
        <v>0</v>
      </c>
      <c r="CE7" s="2" t="n">
        <v>0</v>
      </c>
      <c r="CF7" s="2" t="n">
        <v>0</v>
      </c>
      <c r="CG7" s="2" t="n">
        <v>0</v>
      </c>
      <c r="CH7" s="2" t="n">
        <v>0</v>
      </c>
      <c r="CI7" s="2" t="n">
        <v>0</v>
      </c>
      <c r="CJ7" s="2" t="n">
        <v>0</v>
      </c>
      <c r="CK7" s="2" t="n">
        <v>0</v>
      </c>
      <c r="CL7" s="2" t="n">
        <v>0</v>
      </c>
      <c r="CM7" s="2" t="n">
        <v>0</v>
      </c>
      <c r="CN7" s="2" t="n">
        <v>0</v>
      </c>
      <c r="CO7" s="2" t="n">
        <v>11</v>
      </c>
      <c r="CP7" s="2" t="n">
        <v>0</v>
      </c>
      <c r="CQ7" s="2" t="n">
        <v>0</v>
      </c>
      <c r="CR7" s="2" t="n">
        <v>0</v>
      </c>
      <c r="CS7" s="2" t="n">
        <v>0</v>
      </c>
      <c r="CT7" s="2" t="n">
        <v>0</v>
      </c>
      <c r="CU7" s="2" t="n">
        <v>0</v>
      </c>
      <c r="CV7" s="2" t="n">
        <v>0</v>
      </c>
      <c r="CW7" s="2" t="n">
        <v>0</v>
      </c>
      <c r="CX7" s="2" t="n">
        <v>0</v>
      </c>
      <c r="CY7" s="2" t="n">
        <v>0</v>
      </c>
      <c r="CZ7" s="2" t="n">
        <v>0</v>
      </c>
      <c r="DA7" s="2" t="n">
        <v>0</v>
      </c>
      <c r="DB7" s="2" t="n">
        <v>0</v>
      </c>
      <c r="DC7" s="2" t="n">
        <v>0</v>
      </c>
      <c r="DD7" s="2" t="n">
        <v>0</v>
      </c>
      <c r="DE7" s="2" t="n">
        <v>0</v>
      </c>
      <c r="DF7" s="2" t="n">
        <v>0</v>
      </c>
      <c r="DG7" s="2" t="n">
        <v>0</v>
      </c>
      <c r="DH7" s="2" t="n">
        <v>0</v>
      </c>
      <c r="DI7" s="2" t="n">
        <v>5</v>
      </c>
      <c r="DJ7" s="2" t="n">
        <v>0</v>
      </c>
      <c r="DK7" s="2" t="n">
        <v>0</v>
      </c>
      <c r="DL7" s="2" t="n">
        <v>0</v>
      </c>
      <c r="DM7" s="2" t="n">
        <v>1</v>
      </c>
      <c r="DN7" s="2" t="n">
        <v>0</v>
      </c>
      <c r="DO7" s="2" t="n">
        <v>0</v>
      </c>
      <c r="DP7" s="2" t="n">
        <v>0</v>
      </c>
      <c r="DQ7" s="2" t="n">
        <v>0</v>
      </c>
      <c r="DR7" s="2" t="n">
        <v>0</v>
      </c>
      <c r="DS7" s="2" t="n">
        <v>0</v>
      </c>
      <c r="DT7" s="2" t="n">
        <v>0</v>
      </c>
      <c r="DU7" s="2" t="n">
        <v>0</v>
      </c>
      <c r="DV7" s="2" t="n">
        <v>2</v>
      </c>
      <c r="DW7" s="2" t="n">
        <v>3</v>
      </c>
      <c r="DX7" s="2" t="n">
        <v>0</v>
      </c>
      <c r="DY7" s="2" t="n">
        <v>0</v>
      </c>
      <c r="DZ7" s="2" t="n">
        <v>0</v>
      </c>
      <c r="EA7" s="2" t="n">
        <v>0</v>
      </c>
      <c r="EB7" s="2" t="n">
        <v>0</v>
      </c>
      <c r="EC7" s="2" t="n">
        <v>0</v>
      </c>
      <c r="ED7" s="2" t="n">
        <v>0</v>
      </c>
      <c r="EE7" s="2" t="n">
        <v>0</v>
      </c>
      <c r="EF7" s="2" t="n">
        <v>0</v>
      </c>
      <c r="EG7" s="2" t="n">
        <v>1</v>
      </c>
      <c r="EH7" s="2" t="n">
        <v>0</v>
      </c>
      <c r="EI7" s="2" t="n">
        <v>0</v>
      </c>
      <c r="EJ7" s="2" t="n">
        <v>3</v>
      </c>
      <c r="EK7" s="2" t="n">
        <v>0</v>
      </c>
      <c r="EL7" s="2" t="n">
        <v>2</v>
      </c>
      <c r="EM7" s="2" t="n">
        <v>0</v>
      </c>
      <c r="EN7" s="2" t="n">
        <v>0</v>
      </c>
      <c r="EO7" s="2" t="n">
        <v>0</v>
      </c>
      <c r="EP7" s="2" t="n">
        <v>0</v>
      </c>
      <c r="EQ7" s="2" t="n">
        <v>0</v>
      </c>
      <c r="ER7" s="2" t="n">
        <v>0</v>
      </c>
      <c r="ES7" s="2" t="n">
        <v>7</v>
      </c>
      <c r="ET7" s="2" t="n">
        <v>0</v>
      </c>
      <c r="EU7" s="2" t="n">
        <v>0</v>
      </c>
    </row>
    <row r="8" customFormat="false" ht="15" hidden="false" customHeight="false" outlineLevel="0" collapsed="false">
      <c r="A8" s="2" t="s">
        <v>84</v>
      </c>
      <c r="B8" s="2" t="s">
        <v>78</v>
      </c>
      <c r="C8" s="2" t="n">
        <v>0</v>
      </c>
      <c r="D8" s="2" t="n">
        <v>0</v>
      </c>
      <c r="E8" s="2" t="n">
        <v>0</v>
      </c>
      <c r="F8" s="2" t="n">
        <v>0</v>
      </c>
      <c r="G8" s="2" t="n">
        <v>0</v>
      </c>
      <c r="H8" s="2" t="n">
        <v>0</v>
      </c>
      <c r="I8" s="2" t="n">
        <v>0</v>
      </c>
      <c r="J8" s="2" t="n">
        <v>1</v>
      </c>
      <c r="K8" s="2" t="n">
        <v>0</v>
      </c>
      <c r="L8" s="2" t="n">
        <v>1</v>
      </c>
      <c r="M8" s="2" t="n">
        <v>0</v>
      </c>
      <c r="N8" s="2" t="n">
        <v>0</v>
      </c>
      <c r="O8" s="2" t="n">
        <v>3</v>
      </c>
      <c r="P8" s="2" t="n">
        <v>13</v>
      </c>
      <c r="Q8" s="2" t="n">
        <v>0</v>
      </c>
      <c r="R8" s="2" t="n">
        <v>0</v>
      </c>
      <c r="S8" s="2" t="n">
        <v>0</v>
      </c>
      <c r="T8" s="2" t="n">
        <v>0</v>
      </c>
      <c r="U8" s="2" t="n">
        <v>0</v>
      </c>
      <c r="V8" s="2" t="n">
        <v>0</v>
      </c>
      <c r="W8" s="2" t="n">
        <v>0</v>
      </c>
      <c r="X8" s="2" t="n">
        <v>0</v>
      </c>
      <c r="Y8" s="2" t="n">
        <v>0</v>
      </c>
      <c r="Z8" s="2" t="n">
        <v>0</v>
      </c>
      <c r="AA8" s="2" t="n">
        <v>0</v>
      </c>
      <c r="AB8" s="2" t="n">
        <v>1</v>
      </c>
      <c r="AC8" s="2" t="n">
        <v>0</v>
      </c>
      <c r="AD8" s="2" t="n">
        <v>0</v>
      </c>
      <c r="AE8" s="2" t="n">
        <v>0</v>
      </c>
      <c r="AF8" s="2" t="n">
        <v>0</v>
      </c>
      <c r="AG8" s="2" t="n">
        <v>0</v>
      </c>
      <c r="AH8" s="2" t="n">
        <v>0</v>
      </c>
      <c r="AI8" s="2" t="n">
        <v>0</v>
      </c>
      <c r="AJ8" s="2" t="n">
        <v>0</v>
      </c>
      <c r="AK8" s="2" t="n">
        <v>0</v>
      </c>
      <c r="AL8" s="2" t="n">
        <v>0</v>
      </c>
      <c r="AM8" s="2" t="n">
        <v>0</v>
      </c>
      <c r="AN8" s="2" t="n">
        <v>0</v>
      </c>
      <c r="AO8" s="2" t="n">
        <v>0</v>
      </c>
      <c r="AP8" s="2" t="n">
        <v>0</v>
      </c>
      <c r="AQ8" s="2" t="n">
        <v>0</v>
      </c>
      <c r="AR8" s="2" t="n">
        <v>0</v>
      </c>
      <c r="AS8" s="2" t="n">
        <v>3</v>
      </c>
      <c r="AT8" s="2" t="n">
        <v>0</v>
      </c>
      <c r="AU8" s="2" t="n">
        <v>0</v>
      </c>
      <c r="AV8" s="2" t="n">
        <v>0</v>
      </c>
      <c r="AW8" s="2" t="n">
        <v>0</v>
      </c>
      <c r="AX8" s="2" t="n">
        <v>4</v>
      </c>
      <c r="AY8" s="2" t="n">
        <v>0</v>
      </c>
      <c r="AZ8" s="2" t="n">
        <v>0</v>
      </c>
      <c r="BA8" s="2" t="n">
        <v>0</v>
      </c>
      <c r="BB8" s="2" t="n">
        <v>0</v>
      </c>
      <c r="BC8" s="2" t="n">
        <v>8</v>
      </c>
      <c r="BD8" s="2" t="n">
        <v>0</v>
      </c>
      <c r="BE8" s="2" t="n">
        <v>0</v>
      </c>
      <c r="BF8" s="2" t="n">
        <v>0</v>
      </c>
      <c r="BG8" s="2" t="n">
        <v>0</v>
      </c>
      <c r="BH8" s="2" t="n">
        <v>0</v>
      </c>
      <c r="BI8" s="2" t="n">
        <v>2</v>
      </c>
      <c r="BJ8" s="2" t="n">
        <v>0</v>
      </c>
      <c r="BK8" s="2" t="n">
        <v>0</v>
      </c>
      <c r="BL8" s="2" t="n">
        <v>2</v>
      </c>
      <c r="BM8" s="2" t="n">
        <v>0</v>
      </c>
      <c r="BN8" s="2" t="n">
        <v>0</v>
      </c>
      <c r="BO8" s="2" t="n">
        <v>0</v>
      </c>
      <c r="BP8" s="2" t="n">
        <v>0</v>
      </c>
      <c r="BQ8" s="2" t="n">
        <v>0</v>
      </c>
      <c r="BR8" s="2" t="n">
        <v>0</v>
      </c>
      <c r="BS8" s="2" t="n">
        <v>0</v>
      </c>
      <c r="BT8" s="2" t="n">
        <v>0</v>
      </c>
      <c r="BU8" s="2" t="n">
        <v>0</v>
      </c>
      <c r="BV8" s="2" t="n">
        <v>0</v>
      </c>
      <c r="BW8" s="2" t="n">
        <v>0</v>
      </c>
      <c r="BX8" s="2" t="n">
        <v>0</v>
      </c>
      <c r="BY8" s="2" t="n">
        <v>0</v>
      </c>
      <c r="BZ8" s="2" t="n">
        <v>0</v>
      </c>
      <c r="CA8" s="2" t="n">
        <v>0</v>
      </c>
      <c r="CB8" s="2" t="n">
        <v>0</v>
      </c>
      <c r="CC8" s="2" t="n">
        <v>0</v>
      </c>
      <c r="CD8" s="2" t="n">
        <v>1</v>
      </c>
      <c r="CE8" s="2" t="n">
        <v>0</v>
      </c>
      <c r="CF8" s="2" t="n">
        <v>0</v>
      </c>
      <c r="CG8" s="2" t="n">
        <v>0</v>
      </c>
      <c r="CH8" s="2" t="n">
        <v>0</v>
      </c>
      <c r="CI8" s="2" t="n">
        <v>0</v>
      </c>
      <c r="CJ8" s="2" t="n">
        <v>0</v>
      </c>
      <c r="CK8" s="2" t="n">
        <v>0</v>
      </c>
      <c r="CL8" s="2" t="n">
        <v>0</v>
      </c>
      <c r="CM8" s="2" t="n">
        <v>1</v>
      </c>
      <c r="CN8" s="2" t="n">
        <v>3</v>
      </c>
      <c r="CO8" s="2" t="n">
        <v>3</v>
      </c>
      <c r="CP8" s="2" t="n">
        <v>0</v>
      </c>
      <c r="CQ8" s="2" t="n">
        <v>1</v>
      </c>
      <c r="CR8" s="2" t="n">
        <v>0</v>
      </c>
      <c r="CS8" s="2" t="n">
        <v>0</v>
      </c>
      <c r="CT8" s="2" t="n">
        <v>0</v>
      </c>
      <c r="CU8" s="2" t="n">
        <v>0</v>
      </c>
      <c r="CV8" s="2" t="n">
        <v>0</v>
      </c>
      <c r="CW8" s="2" t="n">
        <v>0</v>
      </c>
      <c r="CX8" s="2" t="n">
        <v>0</v>
      </c>
      <c r="CY8" s="2" t="n">
        <v>24</v>
      </c>
      <c r="CZ8" s="2" t="n">
        <v>0</v>
      </c>
      <c r="DA8" s="2" t="n">
        <v>0</v>
      </c>
      <c r="DB8" s="2" t="n">
        <v>0</v>
      </c>
      <c r="DC8" s="2" t="n">
        <v>0</v>
      </c>
      <c r="DD8" s="2" t="n">
        <v>0</v>
      </c>
      <c r="DE8" s="2" t="n">
        <v>0</v>
      </c>
      <c r="DF8" s="2" t="n">
        <v>1</v>
      </c>
      <c r="DG8" s="2" t="n">
        <v>0</v>
      </c>
      <c r="DH8" s="2" t="n">
        <v>0</v>
      </c>
      <c r="DI8" s="2" t="n">
        <v>15</v>
      </c>
      <c r="DJ8" s="2" t="n">
        <v>0</v>
      </c>
      <c r="DK8" s="2" t="n">
        <v>0</v>
      </c>
      <c r="DL8" s="2" t="n">
        <v>0</v>
      </c>
      <c r="DM8" s="2" t="n">
        <v>2</v>
      </c>
      <c r="DN8" s="2" t="n">
        <v>0</v>
      </c>
      <c r="DO8" s="2" t="n">
        <v>0</v>
      </c>
      <c r="DP8" s="2" t="n">
        <v>0</v>
      </c>
      <c r="DQ8" s="2" t="n">
        <v>0</v>
      </c>
      <c r="DR8" s="2" t="n">
        <v>0</v>
      </c>
      <c r="DS8" s="2" t="n">
        <v>0</v>
      </c>
      <c r="DT8" s="2" t="n">
        <v>0</v>
      </c>
      <c r="DU8" s="2" t="n">
        <v>0</v>
      </c>
      <c r="DV8" s="2" t="n">
        <v>0</v>
      </c>
      <c r="DW8" s="2" t="n">
        <v>9</v>
      </c>
      <c r="DX8" s="2" t="n">
        <v>0</v>
      </c>
      <c r="DY8" s="2" t="n">
        <v>0</v>
      </c>
      <c r="DZ8" s="2" t="n">
        <v>0</v>
      </c>
      <c r="EA8" s="2" t="n">
        <v>0</v>
      </c>
      <c r="EB8" s="2" t="n">
        <v>0</v>
      </c>
      <c r="EC8" s="2" t="n">
        <v>0</v>
      </c>
      <c r="ED8" s="2" t="n">
        <v>0</v>
      </c>
      <c r="EE8" s="2" t="n">
        <v>0</v>
      </c>
      <c r="EF8" s="2" t="n">
        <v>0</v>
      </c>
      <c r="EG8" s="2" t="n">
        <v>0</v>
      </c>
      <c r="EH8" s="2" t="n">
        <v>0</v>
      </c>
      <c r="EI8" s="2" t="n">
        <v>0</v>
      </c>
      <c r="EJ8" s="2" t="n">
        <v>0</v>
      </c>
      <c r="EK8" s="2" t="n">
        <v>0</v>
      </c>
      <c r="EL8" s="2" t="n">
        <v>6</v>
      </c>
      <c r="EM8" s="2" t="n">
        <v>0</v>
      </c>
      <c r="EN8" s="2" t="n">
        <v>0</v>
      </c>
      <c r="EO8" s="2" t="n">
        <v>0</v>
      </c>
      <c r="EP8" s="2" t="n">
        <v>0</v>
      </c>
      <c r="EQ8" s="2" t="n">
        <v>0</v>
      </c>
      <c r="ER8" s="2" t="n">
        <v>0</v>
      </c>
      <c r="ES8" s="2" t="n">
        <v>13</v>
      </c>
      <c r="ET8" s="2" t="n">
        <v>0</v>
      </c>
      <c r="EU8" s="2" t="n">
        <v>0</v>
      </c>
    </row>
    <row r="9" customFormat="false" ht="15" hidden="false" customHeight="false" outlineLevel="0" collapsed="false">
      <c r="A9" s="2" t="s">
        <v>85</v>
      </c>
      <c r="B9" s="2" t="s">
        <v>78</v>
      </c>
      <c r="C9" s="2" t="n">
        <v>0</v>
      </c>
      <c r="D9" s="2" t="n">
        <v>0</v>
      </c>
      <c r="E9" s="2" t="n">
        <v>0</v>
      </c>
      <c r="F9" s="2" t="n">
        <v>0</v>
      </c>
      <c r="G9" s="2" t="n">
        <v>0</v>
      </c>
      <c r="H9" s="2" t="n">
        <v>0</v>
      </c>
      <c r="I9" s="2" t="n">
        <v>0</v>
      </c>
      <c r="J9" s="2" t="n">
        <v>2</v>
      </c>
      <c r="K9" s="2" t="n">
        <v>0</v>
      </c>
      <c r="L9" s="2" t="n">
        <v>0</v>
      </c>
      <c r="M9" s="2" t="n">
        <v>0</v>
      </c>
      <c r="N9" s="2" t="n">
        <v>0</v>
      </c>
      <c r="O9" s="2" t="n">
        <v>0</v>
      </c>
      <c r="P9" s="2" t="n">
        <v>0</v>
      </c>
      <c r="Q9" s="2" t="n">
        <v>0</v>
      </c>
      <c r="R9" s="2" t="n">
        <v>0</v>
      </c>
      <c r="S9" s="2" t="n">
        <v>0</v>
      </c>
      <c r="T9" s="2" t="n">
        <v>0</v>
      </c>
      <c r="U9" s="2" t="n">
        <v>0</v>
      </c>
      <c r="V9" s="2" t="n">
        <v>0</v>
      </c>
      <c r="W9" s="2" t="n">
        <v>0</v>
      </c>
      <c r="X9" s="2" t="n">
        <v>0</v>
      </c>
      <c r="Y9" s="2" t="n">
        <v>0</v>
      </c>
      <c r="Z9" s="2" t="n">
        <v>10</v>
      </c>
      <c r="AA9" s="2" t="n">
        <v>0</v>
      </c>
      <c r="AB9" s="2" t="n">
        <v>0</v>
      </c>
      <c r="AC9" s="2" t="n">
        <v>1</v>
      </c>
      <c r="AD9" s="2" t="n">
        <v>0</v>
      </c>
      <c r="AE9" s="2" t="n">
        <v>0</v>
      </c>
      <c r="AF9" s="2" t="n">
        <v>0</v>
      </c>
      <c r="AG9" s="2" t="n">
        <v>0</v>
      </c>
      <c r="AH9" s="2" t="n">
        <v>0</v>
      </c>
      <c r="AI9" s="2" t="n">
        <v>0</v>
      </c>
      <c r="AJ9" s="2" t="n">
        <v>0</v>
      </c>
      <c r="AK9" s="2" t="n">
        <v>0</v>
      </c>
      <c r="AL9" s="2" t="n">
        <v>0</v>
      </c>
      <c r="AM9" s="2" t="n">
        <v>0</v>
      </c>
      <c r="AN9" s="2" t="n">
        <v>0</v>
      </c>
      <c r="AO9" s="2" t="n">
        <v>2</v>
      </c>
      <c r="AP9" s="2" t="n">
        <v>0</v>
      </c>
      <c r="AQ9" s="2" t="n">
        <v>1</v>
      </c>
      <c r="AR9" s="2" t="n">
        <v>0</v>
      </c>
      <c r="AS9" s="2" t="n">
        <v>14</v>
      </c>
      <c r="AT9" s="2" t="n">
        <v>0</v>
      </c>
      <c r="AU9" s="2" t="n">
        <v>1</v>
      </c>
      <c r="AV9" s="2" t="n">
        <v>0</v>
      </c>
      <c r="AW9" s="2" t="n">
        <v>0</v>
      </c>
      <c r="AX9" s="2" t="n">
        <v>0</v>
      </c>
      <c r="AY9" s="2" t="n">
        <v>0</v>
      </c>
      <c r="AZ9" s="2" t="n">
        <v>1</v>
      </c>
      <c r="BA9" s="2" t="n">
        <v>0</v>
      </c>
      <c r="BB9" s="2" t="n">
        <v>0</v>
      </c>
      <c r="BC9" s="2" t="n">
        <v>0</v>
      </c>
      <c r="BD9" s="2" t="n">
        <v>0</v>
      </c>
      <c r="BE9" s="2" t="n">
        <v>0</v>
      </c>
      <c r="BF9" s="2" t="n">
        <v>0</v>
      </c>
      <c r="BG9" s="2" t="n">
        <v>0</v>
      </c>
      <c r="BH9" s="2" t="n">
        <v>0</v>
      </c>
      <c r="BI9" s="2" t="n">
        <v>0</v>
      </c>
      <c r="BJ9" s="2" t="n">
        <v>0</v>
      </c>
      <c r="BK9" s="2" t="n">
        <v>0</v>
      </c>
      <c r="BL9" s="2" t="n">
        <v>0</v>
      </c>
      <c r="BM9" s="2" t="n">
        <v>0</v>
      </c>
      <c r="BN9" s="2" t="n">
        <v>0</v>
      </c>
      <c r="BO9" s="2" t="n">
        <v>0</v>
      </c>
      <c r="BP9" s="2" t="n">
        <v>0</v>
      </c>
      <c r="BQ9" s="2" t="n">
        <v>0</v>
      </c>
      <c r="BR9" s="2" t="n">
        <v>0</v>
      </c>
      <c r="BS9" s="2" t="n">
        <v>0</v>
      </c>
      <c r="BT9" s="2" t="n">
        <v>0</v>
      </c>
      <c r="BU9" s="2" t="n">
        <v>0</v>
      </c>
      <c r="BV9" s="2" t="n">
        <v>0</v>
      </c>
      <c r="BW9" s="2" t="n">
        <v>0</v>
      </c>
      <c r="BX9" s="2" t="n">
        <v>0</v>
      </c>
      <c r="BY9" s="2" t="n">
        <v>0</v>
      </c>
      <c r="BZ9" s="2" t="n">
        <v>0</v>
      </c>
      <c r="CA9" s="2" t="n">
        <v>0</v>
      </c>
      <c r="CB9" s="2" t="n">
        <v>0</v>
      </c>
      <c r="CC9" s="2" t="n">
        <v>0</v>
      </c>
      <c r="CD9" s="2" t="n">
        <v>0</v>
      </c>
      <c r="CE9" s="2" t="n">
        <v>0</v>
      </c>
      <c r="CF9" s="2" t="n">
        <v>0</v>
      </c>
      <c r="CG9" s="2" t="n">
        <v>0</v>
      </c>
      <c r="CH9" s="2" t="n">
        <v>0</v>
      </c>
      <c r="CI9" s="2" t="n">
        <v>0</v>
      </c>
      <c r="CJ9" s="2" t="n">
        <v>0</v>
      </c>
      <c r="CK9" s="2" t="n">
        <v>0</v>
      </c>
      <c r="CL9" s="2" t="n">
        <v>0</v>
      </c>
      <c r="CM9" s="2" t="n">
        <v>0</v>
      </c>
      <c r="CN9" s="2" t="n">
        <v>0</v>
      </c>
      <c r="CO9" s="2" t="n">
        <v>1</v>
      </c>
      <c r="CP9" s="2" t="n">
        <v>0</v>
      </c>
      <c r="CQ9" s="2" t="n">
        <v>0</v>
      </c>
      <c r="CR9" s="2" t="n">
        <v>0</v>
      </c>
      <c r="CS9" s="2" t="n">
        <v>0</v>
      </c>
      <c r="CT9" s="2" t="n">
        <v>0</v>
      </c>
      <c r="CU9" s="2" t="n">
        <v>0</v>
      </c>
      <c r="CV9" s="2" t="n">
        <v>0</v>
      </c>
      <c r="CW9" s="2" t="n">
        <v>0</v>
      </c>
      <c r="CX9" s="2" t="n">
        <v>0</v>
      </c>
      <c r="CY9" s="2" t="n">
        <v>8</v>
      </c>
      <c r="CZ9" s="2" t="n">
        <v>0</v>
      </c>
      <c r="DA9" s="2" t="n">
        <v>17</v>
      </c>
      <c r="DB9" s="2" t="n">
        <v>0</v>
      </c>
      <c r="DC9" s="2" t="n">
        <v>0</v>
      </c>
      <c r="DD9" s="2" t="n">
        <v>7</v>
      </c>
      <c r="DE9" s="2" t="n">
        <v>0</v>
      </c>
      <c r="DF9" s="2" t="n">
        <v>0</v>
      </c>
      <c r="DG9" s="2" t="n">
        <v>0</v>
      </c>
      <c r="DH9" s="2" t="n">
        <v>0</v>
      </c>
      <c r="DI9" s="2" t="n">
        <v>0</v>
      </c>
      <c r="DJ9" s="2" t="n">
        <v>0</v>
      </c>
      <c r="DK9" s="2" t="n">
        <v>0</v>
      </c>
      <c r="DL9" s="2" t="n">
        <v>0</v>
      </c>
      <c r="DM9" s="2" t="n">
        <v>1</v>
      </c>
      <c r="DN9" s="2" t="n">
        <v>0</v>
      </c>
      <c r="DO9" s="2" t="n">
        <v>1</v>
      </c>
      <c r="DP9" s="2" t="n">
        <v>0</v>
      </c>
      <c r="DQ9" s="2" t="n">
        <v>0</v>
      </c>
      <c r="DR9" s="2" t="n">
        <v>2</v>
      </c>
      <c r="DS9" s="2" t="n">
        <v>0</v>
      </c>
      <c r="DT9" s="2" t="n">
        <v>0</v>
      </c>
      <c r="DU9" s="2" t="n">
        <v>0</v>
      </c>
      <c r="DV9" s="2" t="n">
        <v>0</v>
      </c>
      <c r="DW9" s="2" t="n">
        <v>7</v>
      </c>
      <c r="DX9" s="2" t="n">
        <v>27</v>
      </c>
      <c r="DY9" s="2" t="n">
        <v>0</v>
      </c>
      <c r="DZ9" s="2" t="n">
        <v>0</v>
      </c>
      <c r="EA9" s="2" t="n">
        <v>0</v>
      </c>
      <c r="EB9" s="2" t="n">
        <v>0</v>
      </c>
      <c r="EC9" s="2" t="n">
        <v>0</v>
      </c>
      <c r="ED9" s="2" t="n">
        <v>0</v>
      </c>
      <c r="EE9" s="2" t="n">
        <v>0</v>
      </c>
      <c r="EF9" s="2" t="n">
        <v>0</v>
      </c>
      <c r="EG9" s="2" t="n">
        <v>0</v>
      </c>
      <c r="EH9" s="2" t="n">
        <v>0</v>
      </c>
      <c r="EI9" s="2" t="n">
        <v>0</v>
      </c>
      <c r="EJ9" s="2" t="n">
        <v>0</v>
      </c>
      <c r="EK9" s="2" t="n">
        <v>0</v>
      </c>
      <c r="EL9" s="2" t="n">
        <v>1</v>
      </c>
      <c r="EM9" s="2" t="n">
        <v>0</v>
      </c>
      <c r="EN9" s="2" t="n">
        <v>0</v>
      </c>
      <c r="EO9" s="2" t="n">
        <v>0</v>
      </c>
      <c r="EP9" s="2" t="n">
        <v>0</v>
      </c>
      <c r="EQ9" s="2" t="n">
        <v>0</v>
      </c>
      <c r="ER9" s="2" t="n">
        <v>0</v>
      </c>
      <c r="ES9" s="2" t="n">
        <v>0</v>
      </c>
      <c r="ET9" s="2" t="n">
        <v>0</v>
      </c>
      <c r="EU9" s="2" t="n">
        <v>0</v>
      </c>
    </row>
    <row r="10" customFormat="false" ht="15" hidden="false" customHeight="false" outlineLevel="0" collapsed="false">
      <c r="A10" s="2" t="s">
        <v>86</v>
      </c>
      <c r="B10" s="2" t="s">
        <v>78</v>
      </c>
      <c r="C10" s="2" t="n">
        <v>0</v>
      </c>
      <c r="D10" s="2" t="n">
        <v>0</v>
      </c>
      <c r="E10" s="2" t="n">
        <v>0</v>
      </c>
      <c r="F10" s="2" t="n">
        <v>0</v>
      </c>
      <c r="G10" s="2" t="n">
        <v>0</v>
      </c>
      <c r="H10" s="2" t="n">
        <v>0</v>
      </c>
      <c r="I10" s="2" t="n">
        <v>0</v>
      </c>
      <c r="J10" s="2" t="n">
        <v>3</v>
      </c>
      <c r="K10" s="2" t="n">
        <v>0</v>
      </c>
      <c r="L10" s="2" t="n">
        <v>0</v>
      </c>
      <c r="M10" s="2" t="n">
        <v>0</v>
      </c>
      <c r="N10" s="2" t="n">
        <v>0</v>
      </c>
      <c r="O10" s="2" t="n">
        <v>3</v>
      </c>
      <c r="P10" s="2" t="n">
        <v>3</v>
      </c>
      <c r="Q10" s="2" t="n">
        <v>0</v>
      </c>
      <c r="R10" s="2" t="n">
        <v>0</v>
      </c>
      <c r="S10" s="2" t="n">
        <v>0</v>
      </c>
      <c r="T10" s="2" t="n">
        <v>0</v>
      </c>
      <c r="U10" s="2" t="n">
        <v>0</v>
      </c>
      <c r="V10" s="2" t="n">
        <v>0</v>
      </c>
      <c r="W10" s="2" t="n">
        <v>0</v>
      </c>
      <c r="X10" s="2" t="n">
        <v>0</v>
      </c>
      <c r="Y10" s="2" t="n">
        <v>0</v>
      </c>
      <c r="Z10" s="2" t="n">
        <v>0</v>
      </c>
      <c r="AA10" s="2" t="n">
        <v>0</v>
      </c>
      <c r="AB10" s="2" t="n">
        <v>0</v>
      </c>
      <c r="AC10" s="2" t="n">
        <v>2</v>
      </c>
      <c r="AD10" s="2" t="n">
        <v>1</v>
      </c>
      <c r="AE10" s="2" t="n">
        <v>0</v>
      </c>
      <c r="AF10" s="2" t="n">
        <v>0</v>
      </c>
      <c r="AG10" s="2" t="n">
        <v>0</v>
      </c>
      <c r="AH10" s="2" t="n">
        <v>0</v>
      </c>
      <c r="AI10" s="2" t="n">
        <v>0</v>
      </c>
      <c r="AJ10" s="2" t="n">
        <v>3</v>
      </c>
      <c r="AK10" s="2" t="n">
        <v>0</v>
      </c>
      <c r="AL10" s="2" t="n">
        <v>0</v>
      </c>
      <c r="AM10" s="2" t="n">
        <v>0</v>
      </c>
      <c r="AN10" s="2" t="n">
        <v>0</v>
      </c>
      <c r="AO10" s="2" t="n">
        <v>0</v>
      </c>
      <c r="AP10" s="2" t="n">
        <v>0</v>
      </c>
      <c r="AQ10" s="2" t="n">
        <v>0</v>
      </c>
      <c r="AR10" s="2" t="n">
        <v>0</v>
      </c>
      <c r="AS10" s="2" t="n">
        <v>1</v>
      </c>
      <c r="AT10" s="2" t="n">
        <v>0</v>
      </c>
      <c r="AU10" s="2" t="n">
        <v>0</v>
      </c>
      <c r="AV10" s="2" t="n">
        <v>0</v>
      </c>
      <c r="AW10" s="2" t="n">
        <v>0</v>
      </c>
      <c r="AX10" s="2" t="n">
        <v>4</v>
      </c>
      <c r="AY10" s="2" t="n">
        <v>0</v>
      </c>
      <c r="AZ10" s="2" t="n">
        <v>0</v>
      </c>
      <c r="BA10" s="2" t="n">
        <v>0</v>
      </c>
      <c r="BB10" s="2" t="n">
        <v>0</v>
      </c>
      <c r="BC10" s="2" t="n">
        <v>0</v>
      </c>
      <c r="BD10" s="2" t="n">
        <v>0</v>
      </c>
      <c r="BE10" s="2" t="n">
        <v>1</v>
      </c>
      <c r="BF10" s="2" t="n">
        <v>0</v>
      </c>
      <c r="BG10" s="2" t="n">
        <v>0</v>
      </c>
      <c r="BH10" s="2" t="n">
        <v>0</v>
      </c>
      <c r="BI10" s="2" t="n">
        <v>0</v>
      </c>
      <c r="BJ10" s="2" t="n">
        <v>0</v>
      </c>
      <c r="BK10" s="2" t="n">
        <v>0</v>
      </c>
      <c r="BL10" s="2" t="n">
        <v>3</v>
      </c>
      <c r="BM10" s="2" t="n">
        <v>0</v>
      </c>
      <c r="BN10" s="2" t="n">
        <v>0</v>
      </c>
      <c r="BO10" s="2" t="n">
        <v>0</v>
      </c>
      <c r="BP10" s="2" t="n">
        <v>0</v>
      </c>
      <c r="BQ10" s="2" t="n">
        <v>0</v>
      </c>
      <c r="BR10" s="2" t="n">
        <v>0</v>
      </c>
      <c r="BS10" s="2" t="n">
        <v>0</v>
      </c>
      <c r="BT10" s="2" t="n">
        <v>0</v>
      </c>
      <c r="BU10" s="2" t="n">
        <v>0</v>
      </c>
      <c r="BV10" s="2" t="n">
        <v>0</v>
      </c>
      <c r="BW10" s="2" t="n">
        <v>0</v>
      </c>
      <c r="BX10" s="2" t="n">
        <v>0</v>
      </c>
      <c r="BY10" s="2" t="n">
        <v>1</v>
      </c>
      <c r="BZ10" s="2" t="n">
        <v>0</v>
      </c>
      <c r="CA10" s="2" t="n">
        <v>0</v>
      </c>
      <c r="CB10" s="2" t="n">
        <v>0</v>
      </c>
      <c r="CC10" s="2" t="n">
        <v>0</v>
      </c>
      <c r="CD10" s="2" t="n">
        <v>0</v>
      </c>
      <c r="CE10" s="2" t="n">
        <v>0</v>
      </c>
      <c r="CF10" s="2" t="n">
        <v>0</v>
      </c>
      <c r="CG10" s="2" t="n">
        <v>0</v>
      </c>
      <c r="CH10" s="2" t="n">
        <v>0</v>
      </c>
      <c r="CI10" s="2" t="n">
        <v>0</v>
      </c>
      <c r="CJ10" s="2" t="n">
        <v>0</v>
      </c>
      <c r="CK10" s="2" t="n">
        <v>0</v>
      </c>
      <c r="CL10" s="2" t="n">
        <v>0</v>
      </c>
      <c r="CM10" s="2" t="n">
        <v>1</v>
      </c>
      <c r="CN10" s="2" t="n">
        <v>1</v>
      </c>
      <c r="CO10" s="2" t="n">
        <v>0</v>
      </c>
      <c r="CP10" s="2" t="n">
        <v>0</v>
      </c>
      <c r="CQ10" s="2" t="n">
        <v>1</v>
      </c>
      <c r="CR10" s="2" t="n">
        <v>0</v>
      </c>
      <c r="CS10" s="2" t="n">
        <v>0</v>
      </c>
      <c r="CT10" s="2" t="n">
        <v>0</v>
      </c>
      <c r="CU10" s="2" t="n">
        <v>0</v>
      </c>
      <c r="CV10" s="2" t="n">
        <v>0</v>
      </c>
      <c r="CW10" s="2" t="n">
        <v>0</v>
      </c>
      <c r="CX10" s="2" t="n">
        <v>0</v>
      </c>
      <c r="CY10" s="2" t="n">
        <v>49</v>
      </c>
      <c r="CZ10" s="2" t="n">
        <v>0</v>
      </c>
      <c r="DA10" s="2" t="n">
        <v>0</v>
      </c>
      <c r="DB10" s="2" t="n">
        <v>0</v>
      </c>
      <c r="DC10" s="2" t="n">
        <v>2</v>
      </c>
      <c r="DD10" s="2" t="n">
        <v>13</v>
      </c>
      <c r="DE10" s="2" t="n">
        <v>0</v>
      </c>
      <c r="DF10" s="2" t="n">
        <v>0</v>
      </c>
      <c r="DG10" s="2" t="n">
        <v>0</v>
      </c>
      <c r="DH10" s="2" t="n">
        <v>0</v>
      </c>
      <c r="DI10" s="2" t="n">
        <v>34</v>
      </c>
      <c r="DJ10" s="2" t="n">
        <v>0</v>
      </c>
      <c r="DK10" s="2" t="n">
        <v>0</v>
      </c>
      <c r="DL10" s="2" t="n">
        <v>0</v>
      </c>
      <c r="DM10" s="2" t="n">
        <v>28</v>
      </c>
      <c r="DN10" s="2" t="n">
        <v>0</v>
      </c>
      <c r="DO10" s="2" t="n">
        <v>0</v>
      </c>
      <c r="DP10" s="2" t="n">
        <v>0</v>
      </c>
      <c r="DQ10" s="2" t="n">
        <v>0</v>
      </c>
      <c r="DR10" s="2" t="n">
        <v>0</v>
      </c>
      <c r="DS10" s="2" t="n">
        <v>0</v>
      </c>
      <c r="DT10" s="2" t="n">
        <v>0</v>
      </c>
      <c r="DU10" s="2" t="n">
        <v>0</v>
      </c>
      <c r="DV10" s="2" t="n">
        <v>1</v>
      </c>
      <c r="DW10" s="2" t="n">
        <v>23</v>
      </c>
      <c r="DX10" s="2" t="n">
        <v>7</v>
      </c>
      <c r="DY10" s="2" t="n">
        <v>0</v>
      </c>
      <c r="DZ10" s="2" t="n">
        <v>0</v>
      </c>
      <c r="EA10" s="2" t="n">
        <v>0</v>
      </c>
      <c r="EB10" s="2" t="n">
        <v>0</v>
      </c>
      <c r="EC10" s="2" t="n">
        <v>0</v>
      </c>
      <c r="ED10" s="2" t="n">
        <v>0</v>
      </c>
      <c r="EE10" s="2" t="n">
        <v>0</v>
      </c>
      <c r="EF10" s="2" t="n">
        <v>0</v>
      </c>
      <c r="EG10" s="2" t="n">
        <v>0</v>
      </c>
      <c r="EH10" s="2" t="n">
        <v>0</v>
      </c>
      <c r="EI10" s="2" t="n">
        <v>0</v>
      </c>
      <c r="EJ10" s="2" t="n">
        <v>0</v>
      </c>
      <c r="EK10" s="2" t="n">
        <v>0</v>
      </c>
      <c r="EL10" s="2" t="n">
        <v>1</v>
      </c>
      <c r="EM10" s="2" t="n">
        <v>0</v>
      </c>
      <c r="EN10" s="2" t="n">
        <v>1</v>
      </c>
      <c r="EO10" s="2" t="n">
        <v>0</v>
      </c>
      <c r="EP10" s="2" t="n">
        <v>0</v>
      </c>
      <c r="EQ10" s="2" t="n">
        <v>0</v>
      </c>
      <c r="ER10" s="2" t="n">
        <v>0</v>
      </c>
      <c r="ES10" s="2" t="n">
        <v>7</v>
      </c>
      <c r="ET10" s="2" t="n">
        <v>0</v>
      </c>
      <c r="EU10" s="2" t="n">
        <v>0</v>
      </c>
    </row>
    <row r="11" customFormat="false" ht="15" hidden="false" customHeight="false" outlineLevel="0" collapsed="false">
      <c r="A11" s="2" t="s">
        <v>87</v>
      </c>
      <c r="B11" s="2" t="s">
        <v>78</v>
      </c>
      <c r="C11" s="2" t="n">
        <v>0</v>
      </c>
      <c r="D11" s="2" t="n">
        <v>0</v>
      </c>
      <c r="E11" s="2" t="n">
        <v>0</v>
      </c>
      <c r="F11" s="2" t="n">
        <v>0</v>
      </c>
      <c r="G11" s="2" t="n">
        <v>0</v>
      </c>
      <c r="H11" s="2" t="n">
        <v>0</v>
      </c>
      <c r="I11" s="2" t="n">
        <v>0</v>
      </c>
      <c r="J11" s="2" t="n">
        <v>1</v>
      </c>
      <c r="K11" s="2" t="n">
        <v>0</v>
      </c>
      <c r="L11" s="2" t="n">
        <v>0</v>
      </c>
      <c r="M11" s="2" t="n">
        <v>0</v>
      </c>
      <c r="N11" s="2" t="n">
        <v>0</v>
      </c>
      <c r="O11" s="2" t="n">
        <v>0</v>
      </c>
      <c r="P11" s="2" t="n">
        <v>1</v>
      </c>
      <c r="Q11" s="2" t="n">
        <v>0</v>
      </c>
      <c r="R11" s="2" t="n">
        <v>0</v>
      </c>
      <c r="S11" s="2" t="n">
        <v>0</v>
      </c>
      <c r="T11" s="2" t="n">
        <v>0</v>
      </c>
      <c r="U11" s="2" t="n">
        <v>0</v>
      </c>
      <c r="V11" s="2" t="n">
        <v>0</v>
      </c>
      <c r="W11" s="2" t="n">
        <v>0</v>
      </c>
      <c r="X11" s="2" t="n">
        <v>0</v>
      </c>
      <c r="Y11" s="2" t="n">
        <v>0</v>
      </c>
      <c r="Z11" s="2" t="n">
        <v>0</v>
      </c>
      <c r="AA11" s="2" t="n">
        <v>0</v>
      </c>
      <c r="AB11" s="2" t="n">
        <v>0</v>
      </c>
      <c r="AC11" s="2" t="n">
        <v>0</v>
      </c>
      <c r="AD11" s="2" t="n">
        <v>0</v>
      </c>
      <c r="AE11" s="2" t="n">
        <v>0</v>
      </c>
      <c r="AF11" s="2" t="n">
        <v>0</v>
      </c>
      <c r="AG11" s="2" t="n">
        <v>0</v>
      </c>
      <c r="AH11" s="2" t="n">
        <v>0</v>
      </c>
      <c r="AI11" s="2" t="n">
        <v>0</v>
      </c>
      <c r="AJ11" s="2" t="n">
        <v>0</v>
      </c>
      <c r="AK11" s="2" t="n">
        <v>0</v>
      </c>
      <c r="AL11" s="2" t="n">
        <v>0</v>
      </c>
      <c r="AM11" s="2" t="n">
        <v>0</v>
      </c>
      <c r="AN11" s="2" t="n">
        <v>0</v>
      </c>
      <c r="AO11" s="2" t="n">
        <v>0</v>
      </c>
      <c r="AP11" s="2" t="n">
        <v>0</v>
      </c>
      <c r="AQ11" s="2" t="n">
        <v>0</v>
      </c>
      <c r="AR11" s="2" t="n">
        <v>0</v>
      </c>
      <c r="AS11" s="2" t="n">
        <v>3</v>
      </c>
      <c r="AT11" s="2" t="n">
        <v>0</v>
      </c>
      <c r="AU11" s="2" t="n">
        <v>0</v>
      </c>
      <c r="AV11" s="2" t="n">
        <v>0</v>
      </c>
      <c r="AW11" s="2" t="n">
        <v>0</v>
      </c>
      <c r="AX11" s="2" t="n">
        <v>2</v>
      </c>
      <c r="AY11" s="2" t="n">
        <v>0</v>
      </c>
      <c r="AZ11" s="2" t="n">
        <v>0</v>
      </c>
      <c r="BA11" s="2" t="n">
        <v>0</v>
      </c>
      <c r="BB11" s="2" t="n">
        <v>0</v>
      </c>
      <c r="BC11" s="2" t="n">
        <v>0</v>
      </c>
      <c r="BD11" s="2" t="n">
        <v>0</v>
      </c>
      <c r="BE11" s="2" t="n">
        <v>0</v>
      </c>
      <c r="BF11" s="2" t="n">
        <v>0</v>
      </c>
      <c r="BG11" s="2" t="n">
        <v>0</v>
      </c>
      <c r="BH11" s="2" t="n">
        <v>0</v>
      </c>
      <c r="BI11" s="2" t="n">
        <v>0</v>
      </c>
      <c r="BJ11" s="2" t="n">
        <v>0</v>
      </c>
      <c r="BK11" s="2" t="n">
        <v>0</v>
      </c>
      <c r="BL11" s="2" t="n">
        <v>0</v>
      </c>
      <c r="BM11" s="2" t="n">
        <v>0</v>
      </c>
      <c r="BN11" s="2" t="n">
        <v>0</v>
      </c>
      <c r="BO11" s="2" t="n">
        <v>0</v>
      </c>
      <c r="BP11" s="2" t="n">
        <v>0</v>
      </c>
      <c r="BQ11" s="2" t="n">
        <v>0</v>
      </c>
      <c r="BR11" s="2" t="n">
        <v>0</v>
      </c>
      <c r="BS11" s="2" t="n">
        <v>0</v>
      </c>
      <c r="BT11" s="2" t="n">
        <v>0</v>
      </c>
      <c r="BU11" s="2" t="n">
        <v>0</v>
      </c>
      <c r="BV11" s="2" t="n">
        <v>0</v>
      </c>
      <c r="BW11" s="2" t="n">
        <v>0</v>
      </c>
      <c r="BX11" s="2" t="n">
        <v>0</v>
      </c>
      <c r="BY11" s="2" t="n">
        <v>0</v>
      </c>
      <c r="BZ11" s="2" t="n">
        <v>0</v>
      </c>
      <c r="CA11" s="2" t="n">
        <v>0</v>
      </c>
      <c r="CB11" s="2" t="n">
        <v>0</v>
      </c>
      <c r="CC11" s="2" t="n">
        <v>0</v>
      </c>
      <c r="CD11" s="2" t="n">
        <v>0</v>
      </c>
      <c r="CE11" s="2" t="n">
        <v>0</v>
      </c>
      <c r="CF11" s="2" t="n">
        <v>0</v>
      </c>
      <c r="CG11" s="2" t="n">
        <v>0</v>
      </c>
      <c r="CH11" s="2" t="n">
        <v>0</v>
      </c>
      <c r="CI11" s="2" t="n">
        <v>0</v>
      </c>
      <c r="CJ11" s="2" t="n">
        <v>0</v>
      </c>
      <c r="CK11" s="2" t="n">
        <v>0</v>
      </c>
      <c r="CL11" s="2" t="n">
        <v>0</v>
      </c>
      <c r="CM11" s="2" t="n">
        <v>0</v>
      </c>
      <c r="CN11" s="2" t="n">
        <v>0</v>
      </c>
      <c r="CO11" s="2" t="n">
        <v>0</v>
      </c>
      <c r="CP11" s="2" t="n">
        <v>0</v>
      </c>
      <c r="CQ11" s="2" t="n">
        <v>9</v>
      </c>
      <c r="CR11" s="2" t="n">
        <v>0</v>
      </c>
      <c r="CS11" s="2" t="n">
        <v>0</v>
      </c>
      <c r="CT11" s="2" t="n">
        <v>0</v>
      </c>
      <c r="CU11" s="2" t="n">
        <v>0</v>
      </c>
      <c r="CV11" s="2" t="n">
        <v>0</v>
      </c>
      <c r="CW11" s="2" t="n">
        <v>0</v>
      </c>
      <c r="CX11" s="2" t="n">
        <v>0</v>
      </c>
      <c r="CY11" s="2" t="n">
        <v>64</v>
      </c>
      <c r="CZ11" s="2" t="n">
        <v>0</v>
      </c>
      <c r="DA11" s="2" t="n">
        <v>0</v>
      </c>
      <c r="DB11" s="2" t="n">
        <v>0</v>
      </c>
      <c r="DC11" s="2" t="n">
        <v>0</v>
      </c>
      <c r="DD11" s="2" t="n">
        <v>0</v>
      </c>
      <c r="DE11" s="2" t="n">
        <v>0</v>
      </c>
      <c r="DF11" s="2" t="n">
        <v>0</v>
      </c>
      <c r="DG11" s="2" t="n">
        <v>0</v>
      </c>
      <c r="DH11" s="2" t="n">
        <v>0</v>
      </c>
      <c r="DI11" s="2" t="n">
        <v>31</v>
      </c>
      <c r="DJ11" s="2" t="n">
        <v>0</v>
      </c>
      <c r="DK11" s="2" t="n">
        <v>0</v>
      </c>
      <c r="DL11" s="2" t="n">
        <v>0</v>
      </c>
      <c r="DM11" s="2" t="n">
        <v>47</v>
      </c>
      <c r="DN11" s="2" t="n">
        <v>0</v>
      </c>
      <c r="DO11" s="2" t="n">
        <v>1</v>
      </c>
      <c r="DP11" s="2" t="n">
        <v>0</v>
      </c>
      <c r="DQ11" s="2" t="n">
        <v>0</v>
      </c>
      <c r="DR11" s="2" t="n">
        <v>0</v>
      </c>
      <c r="DS11" s="2" t="n">
        <v>0</v>
      </c>
      <c r="DT11" s="2" t="n">
        <v>0</v>
      </c>
      <c r="DU11" s="2" t="n">
        <v>0</v>
      </c>
      <c r="DV11" s="2" t="n">
        <v>0</v>
      </c>
      <c r="DW11" s="2" t="n">
        <v>3</v>
      </c>
      <c r="DX11" s="2" t="n">
        <v>0</v>
      </c>
      <c r="DY11" s="2" t="n">
        <v>0</v>
      </c>
      <c r="DZ11" s="2" t="n">
        <v>0</v>
      </c>
      <c r="EA11" s="2" t="n">
        <v>0</v>
      </c>
      <c r="EB11" s="2" t="n">
        <v>0</v>
      </c>
      <c r="EC11" s="2" t="n">
        <v>0</v>
      </c>
      <c r="ED11" s="2" t="n">
        <v>0</v>
      </c>
      <c r="EE11" s="2" t="n">
        <v>0</v>
      </c>
      <c r="EF11" s="2" t="n">
        <v>0</v>
      </c>
      <c r="EG11" s="2" t="n">
        <v>0</v>
      </c>
      <c r="EH11" s="2" t="n">
        <v>0</v>
      </c>
      <c r="EI11" s="2" t="n">
        <v>0</v>
      </c>
      <c r="EJ11" s="2" t="n">
        <v>0</v>
      </c>
      <c r="EK11" s="2" t="n">
        <v>0</v>
      </c>
      <c r="EL11" s="2" t="n">
        <v>6</v>
      </c>
      <c r="EM11" s="2" t="n">
        <v>0</v>
      </c>
      <c r="EN11" s="2" t="n">
        <v>0</v>
      </c>
      <c r="EO11" s="2" t="n">
        <v>0</v>
      </c>
      <c r="EP11" s="2" t="n">
        <v>0</v>
      </c>
      <c r="EQ11" s="2" t="n">
        <v>0</v>
      </c>
      <c r="ER11" s="2" t="n">
        <v>1</v>
      </c>
      <c r="ES11" s="2" t="n">
        <v>2</v>
      </c>
      <c r="ET11" s="2" t="n">
        <v>0</v>
      </c>
      <c r="EU11" s="2" t="n">
        <v>0</v>
      </c>
    </row>
    <row r="12" customFormat="false" ht="15" hidden="false" customHeight="false" outlineLevel="0" collapsed="false">
      <c r="A12" s="2" t="s">
        <v>88</v>
      </c>
      <c r="B12" s="2" t="s">
        <v>78</v>
      </c>
      <c r="C12" s="2" t="n">
        <v>0</v>
      </c>
      <c r="D12" s="2" t="n">
        <v>0</v>
      </c>
      <c r="E12" s="2" t="n">
        <v>1</v>
      </c>
      <c r="F12" s="2" t="n">
        <v>0</v>
      </c>
      <c r="G12" s="2" t="n">
        <v>0</v>
      </c>
      <c r="H12" s="2" t="n">
        <v>0</v>
      </c>
      <c r="I12" s="2" t="n">
        <v>0</v>
      </c>
      <c r="J12" s="2" t="n">
        <v>1</v>
      </c>
      <c r="K12" s="2" t="n">
        <v>0</v>
      </c>
      <c r="L12" s="2" t="n">
        <v>0</v>
      </c>
      <c r="M12" s="2" t="n">
        <v>0</v>
      </c>
      <c r="N12" s="2" t="n">
        <v>0</v>
      </c>
      <c r="O12" s="2" t="n">
        <v>0</v>
      </c>
      <c r="P12" s="2" t="n">
        <v>1</v>
      </c>
      <c r="Q12" s="2" t="n">
        <v>0</v>
      </c>
      <c r="R12" s="2" t="n">
        <v>0</v>
      </c>
      <c r="S12" s="2" t="n">
        <v>0</v>
      </c>
      <c r="T12" s="2" t="n">
        <v>0</v>
      </c>
      <c r="U12" s="2" t="n">
        <v>0</v>
      </c>
      <c r="V12" s="2" t="n">
        <v>0</v>
      </c>
      <c r="W12" s="2" t="n">
        <v>0</v>
      </c>
      <c r="X12" s="2" t="n">
        <v>0</v>
      </c>
      <c r="Y12" s="2" t="n">
        <v>0</v>
      </c>
      <c r="Z12" s="2" t="n">
        <v>0</v>
      </c>
      <c r="AA12" s="2" t="n">
        <v>0</v>
      </c>
      <c r="AB12" s="2" t="n">
        <v>0</v>
      </c>
      <c r="AC12" s="2" t="n">
        <v>0</v>
      </c>
      <c r="AD12" s="2" t="n">
        <v>0</v>
      </c>
      <c r="AE12" s="2" t="n">
        <v>1</v>
      </c>
      <c r="AF12" s="2" t="n">
        <v>0</v>
      </c>
      <c r="AG12" s="2" t="n">
        <v>0</v>
      </c>
      <c r="AH12" s="2" t="n">
        <v>0</v>
      </c>
      <c r="AI12" s="2" t="n">
        <v>0</v>
      </c>
      <c r="AJ12" s="2" t="n">
        <v>0</v>
      </c>
      <c r="AK12" s="2" t="n">
        <v>0</v>
      </c>
      <c r="AL12" s="2" t="n">
        <v>0</v>
      </c>
      <c r="AM12" s="2" t="n">
        <v>0</v>
      </c>
      <c r="AN12" s="2" t="n">
        <v>0</v>
      </c>
      <c r="AO12" s="2" t="n">
        <v>13</v>
      </c>
      <c r="AP12" s="2" t="n">
        <v>0</v>
      </c>
      <c r="AQ12" s="2" t="n">
        <v>1</v>
      </c>
      <c r="AR12" s="2" t="n">
        <v>0</v>
      </c>
      <c r="AS12" s="2" t="n">
        <v>26</v>
      </c>
      <c r="AT12" s="2" t="n">
        <v>0</v>
      </c>
      <c r="AU12" s="2" t="n">
        <v>0</v>
      </c>
      <c r="AV12" s="2" t="n">
        <v>3</v>
      </c>
      <c r="AW12" s="2" t="n">
        <v>0</v>
      </c>
      <c r="AX12" s="2" t="n">
        <v>2</v>
      </c>
      <c r="AY12" s="2" t="n">
        <v>0</v>
      </c>
      <c r="AZ12" s="2" t="n">
        <v>0</v>
      </c>
      <c r="BA12" s="2" t="n">
        <v>0</v>
      </c>
      <c r="BB12" s="2" t="n">
        <v>0</v>
      </c>
      <c r="BC12" s="2" t="n">
        <v>0</v>
      </c>
      <c r="BD12" s="2" t="n">
        <v>0</v>
      </c>
      <c r="BE12" s="2" t="n">
        <v>0</v>
      </c>
      <c r="BF12" s="2" t="n">
        <v>1</v>
      </c>
      <c r="BG12" s="2" t="n">
        <v>0</v>
      </c>
      <c r="BH12" s="2" t="n">
        <v>0</v>
      </c>
      <c r="BI12" s="2" t="n">
        <v>0</v>
      </c>
      <c r="BJ12" s="2" t="n">
        <v>0</v>
      </c>
      <c r="BK12" s="2" t="n">
        <v>0</v>
      </c>
      <c r="BL12" s="2" t="n">
        <v>1</v>
      </c>
      <c r="BM12" s="2" t="n">
        <v>0</v>
      </c>
      <c r="BN12" s="2" t="n">
        <v>0</v>
      </c>
      <c r="BO12" s="2" t="n">
        <v>0</v>
      </c>
      <c r="BP12" s="2" t="n">
        <v>0</v>
      </c>
      <c r="BQ12" s="2" t="n">
        <v>0</v>
      </c>
      <c r="BR12" s="2" t="n">
        <v>0</v>
      </c>
      <c r="BS12" s="2" t="n">
        <v>0</v>
      </c>
      <c r="BT12" s="2" t="n">
        <v>0</v>
      </c>
      <c r="BU12" s="2" t="n">
        <v>0</v>
      </c>
      <c r="BV12" s="2" t="n">
        <v>0</v>
      </c>
      <c r="BW12" s="2" t="n">
        <v>2</v>
      </c>
      <c r="BX12" s="2" t="n">
        <v>0</v>
      </c>
      <c r="BY12" s="2" t="n">
        <v>0</v>
      </c>
      <c r="BZ12" s="2" t="n">
        <v>0</v>
      </c>
      <c r="CA12" s="2" t="n">
        <v>0</v>
      </c>
      <c r="CB12" s="2" t="n">
        <v>0</v>
      </c>
      <c r="CC12" s="2" t="n">
        <v>1</v>
      </c>
      <c r="CD12" s="2" t="n">
        <v>0</v>
      </c>
      <c r="CE12" s="2" t="n">
        <v>1</v>
      </c>
      <c r="CF12" s="2" t="n">
        <v>0</v>
      </c>
      <c r="CG12" s="2" t="n">
        <v>0</v>
      </c>
      <c r="CH12" s="2" t="n">
        <v>0</v>
      </c>
      <c r="CI12" s="2" t="n">
        <v>0</v>
      </c>
      <c r="CJ12" s="2" t="n">
        <v>0</v>
      </c>
      <c r="CK12" s="2" t="n">
        <v>0</v>
      </c>
      <c r="CL12" s="2" t="n">
        <v>0</v>
      </c>
      <c r="CM12" s="2" t="n">
        <v>1</v>
      </c>
      <c r="CN12" s="2" t="n">
        <v>0</v>
      </c>
      <c r="CO12" s="2" t="n">
        <v>0</v>
      </c>
      <c r="CP12" s="2" t="n">
        <v>0</v>
      </c>
      <c r="CQ12" s="2" t="n">
        <v>0</v>
      </c>
      <c r="CR12" s="2" t="n">
        <v>0</v>
      </c>
      <c r="CS12" s="2" t="n">
        <v>0</v>
      </c>
      <c r="CT12" s="2" t="n">
        <v>0</v>
      </c>
      <c r="CU12" s="2" t="n">
        <v>0</v>
      </c>
      <c r="CV12" s="2" t="n">
        <v>1</v>
      </c>
      <c r="CW12" s="2" t="n">
        <v>0</v>
      </c>
      <c r="CX12" s="2" t="n">
        <v>0</v>
      </c>
      <c r="CY12" s="2" t="n">
        <v>48</v>
      </c>
      <c r="CZ12" s="2" t="n">
        <v>0</v>
      </c>
      <c r="DA12" s="2" t="n">
        <v>0</v>
      </c>
      <c r="DB12" s="2" t="n">
        <v>0</v>
      </c>
      <c r="DC12" s="2" t="n">
        <v>0</v>
      </c>
      <c r="DD12" s="2" t="n">
        <v>1</v>
      </c>
      <c r="DE12" s="2" t="n">
        <v>0</v>
      </c>
      <c r="DF12" s="2" t="n">
        <v>0</v>
      </c>
      <c r="DG12" s="2" t="n">
        <v>0</v>
      </c>
      <c r="DH12" s="2" t="n">
        <v>3</v>
      </c>
      <c r="DI12" s="2" t="n">
        <v>33</v>
      </c>
      <c r="DJ12" s="2" t="n">
        <v>1</v>
      </c>
      <c r="DK12" s="2" t="n">
        <v>0</v>
      </c>
      <c r="DL12" s="2" t="n">
        <v>0</v>
      </c>
      <c r="DM12" s="2" t="n">
        <v>10</v>
      </c>
      <c r="DN12" s="2" t="n">
        <v>0</v>
      </c>
      <c r="DO12" s="2" t="n">
        <v>19</v>
      </c>
      <c r="DP12" s="2" t="n">
        <v>0</v>
      </c>
      <c r="DQ12" s="2" t="n">
        <v>0</v>
      </c>
      <c r="DR12" s="2" t="n">
        <v>0</v>
      </c>
      <c r="DS12" s="2" t="n">
        <v>0</v>
      </c>
      <c r="DT12" s="2" t="n">
        <v>0</v>
      </c>
      <c r="DU12" s="2" t="n">
        <v>0</v>
      </c>
      <c r="DV12" s="2" t="n">
        <v>0</v>
      </c>
      <c r="DW12" s="2" t="n">
        <v>36</v>
      </c>
      <c r="DX12" s="2" t="n">
        <v>0</v>
      </c>
      <c r="DY12" s="2" t="n">
        <v>0</v>
      </c>
      <c r="DZ12" s="2" t="n">
        <v>0</v>
      </c>
      <c r="EA12" s="2" t="n">
        <v>2</v>
      </c>
      <c r="EB12" s="2" t="n">
        <v>0</v>
      </c>
      <c r="EC12" s="2" t="n">
        <v>0</v>
      </c>
      <c r="ED12" s="2" t="n">
        <v>0</v>
      </c>
      <c r="EE12" s="2" t="n">
        <v>0</v>
      </c>
      <c r="EF12" s="2" t="n">
        <v>0</v>
      </c>
      <c r="EG12" s="2" t="n">
        <v>0</v>
      </c>
      <c r="EH12" s="2" t="n">
        <v>0</v>
      </c>
      <c r="EI12" s="2" t="n">
        <v>0</v>
      </c>
      <c r="EJ12" s="2" t="n">
        <v>0</v>
      </c>
      <c r="EK12" s="2" t="n">
        <v>0</v>
      </c>
      <c r="EL12" s="2" t="n">
        <v>37</v>
      </c>
      <c r="EM12" s="2" t="n">
        <v>0</v>
      </c>
      <c r="EN12" s="2" t="n">
        <v>0</v>
      </c>
      <c r="EO12" s="2" t="n">
        <v>0</v>
      </c>
      <c r="EP12" s="2" t="n">
        <v>0</v>
      </c>
      <c r="EQ12" s="2" t="n">
        <v>0</v>
      </c>
      <c r="ER12" s="2" t="n">
        <v>0</v>
      </c>
      <c r="ES12" s="2" t="n">
        <v>0</v>
      </c>
      <c r="ET12" s="2" t="n">
        <v>0</v>
      </c>
      <c r="EU12" s="2" t="n">
        <v>0</v>
      </c>
    </row>
    <row r="13" customFormat="false" ht="15" hidden="false" customHeight="false" outlineLevel="0" collapsed="false">
      <c r="A13" s="2" t="s">
        <v>89</v>
      </c>
      <c r="B13" s="2" t="s">
        <v>90</v>
      </c>
      <c r="C13" s="2" t="n">
        <v>1</v>
      </c>
      <c r="D13" s="2" t="n">
        <v>0</v>
      </c>
      <c r="E13" s="2" t="n">
        <v>0</v>
      </c>
      <c r="F13" s="2" t="n">
        <v>0</v>
      </c>
      <c r="G13" s="2" t="n">
        <v>0</v>
      </c>
      <c r="H13" s="2" t="n">
        <v>0</v>
      </c>
      <c r="I13" s="2" t="n">
        <v>0</v>
      </c>
      <c r="J13" s="2" t="n">
        <v>0</v>
      </c>
      <c r="K13" s="2" t="n">
        <v>0</v>
      </c>
      <c r="L13" s="2" t="n">
        <v>0</v>
      </c>
      <c r="M13" s="2" t="n">
        <v>0</v>
      </c>
      <c r="N13" s="2" t="n">
        <v>0</v>
      </c>
      <c r="O13" s="2" t="n">
        <v>0</v>
      </c>
      <c r="P13" s="2" t="n">
        <v>0</v>
      </c>
      <c r="Q13" s="2" t="n">
        <v>0</v>
      </c>
      <c r="R13" s="2" t="n">
        <v>0</v>
      </c>
      <c r="S13" s="2" t="n">
        <v>0</v>
      </c>
      <c r="T13" s="2" t="n">
        <v>0</v>
      </c>
      <c r="U13" s="2" t="n">
        <v>0</v>
      </c>
      <c r="V13" s="2" t="n">
        <v>0</v>
      </c>
      <c r="W13" s="2" t="n">
        <v>0</v>
      </c>
      <c r="X13" s="2" t="n">
        <v>0</v>
      </c>
      <c r="Y13" s="2" t="n">
        <v>0</v>
      </c>
      <c r="Z13" s="2" t="n">
        <v>0</v>
      </c>
      <c r="AA13" s="2" t="n">
        <v>0</v>
      </c>
      <c r="AB13" s="2" t="n">
        <v>0</v>
      </c>
      <c r="AC13" s="2" t="n">
        <v>0</v>
      </c>
      <c r="AD13" s="2" t="n">
        <v>0</v>
      </c>
      <c r="AE13" s="2" t="n">
        <v>0</v>
      </c>
      <c r="AF13" s="2" t="n">
        <v>0</v>
      </c>
      <c r="AG13" s="2" t="n">
        <v>0</v>
      </c>
      <c r="AH13" s="2" t="n">
        <v>0</v>
      </c>
      <c r="AI13" s="2" t="n">
        <v>0</v>
      </c>
      <c r="AJ13" s="2" t="n">
        <v>0</v>
      </c>
      <c r="AK13" s="2" t="n">
        <v>1</v>
      </c>
      <c r="AL13" s="2" t="n">
        <v>0</v>
      </c>
      <c r="AM13" s="2" t="n">
        <v>0</v>
      </c>
      <c r="AN13" s="2" t="n">
        <v>0</v>
      </c>
      <c r="AO13" s="2" t="n">
        <v>1</v>
      </c>
      <c r="AP13" s="2" t="n">
        <v>0</v>
      </c>
      <c r="AQ13" s="2" t="n">
        <v>0</v>
      </c>
      <c r="AR13" s="2" t="n">
        <v>0</v>
      </c>
      <c r="AS13" s="2" t="n">
        <v>1</v>
      </c>
      <c r="AT13" s="2" t="n">
        <v>0</v>
      </c>
      <c r="AU13" s="2" t="n">
        <v>0</v>
      </c>
      <c r="AV13" s="2" t="n">
        <v>0</v>
      </c>
      <c r="AW13" s="2" t="n">
        <v>0</v>
      </c>
      <c r="AX13" s="2" t="n">
        <v>0</v>
      </c>
      <c r="AY13" s="2" t="n">
        <v>0</v>
      </c>
      <c r="AZ13" s="2" t="n">
        <v>0</v>
      </c>
      <c r="BA13" s="2" t="n">
        <v>0</v>
      </c>
      <c r="BB13" s="2" t="n">
        <v>0</v>
      </c>
      <c r="BC13" s="2" t="n">
        <v>0</v>
      </c>
      <c r="BD13" s="2" t="n">
        <v>0</v>
      </c>
      <c r="BE13" s="2" t="n">
        <v>0</v>
      </c>
      <c r="BF13" s="2" t="n">
        <v>0</v>
      </c>
      <c r="BG13" s="2" t="n">
        <v>0</v>
      </c>
      <c r="BH13" s="2" t="n">
        <v>0</v>
      </c>
      <c r="BI13" s="2" t="n">
        <v>0</v>
      </c>
      <c r="BJ13" s="2" t="n">
        <v>0</v>
      </c>
      <c r="BK13" s="2" t="n">
        <v>0</v>
      </c>
      <c r="BL13" s="2" t="n">
        <v>0</v>
      </c>
      <c r="BM13" s="2" t="n">
        <v>0</v>
      </c>
      <c r="BN13" s="2" t="n">
        <v>0</v>
      </c>
      <c r="BO13" s="2" t="n">
        <v>0</v>
      </c>
      <c r="BP13" s="2" t="n">
        <v>0</v>
      </c>
      <c r="BQ13" s="2" t="n">
        <v>0</v>
      </c>
      <c r="BR13" s="2" t="n">
        <v>0</v>
      </c>
      <c r="BS13" s="2" t="n">
        <v>0</v>
      </c>
      <c r="BT13" s="2" t="n">
        <v>0</v>
      </c>
      <c r="BU13" s="2" t="n">
        <v>0</v>
      </c>
      <c r="BV13" s="2" t="n">
        <v>0</v>
      </c>
      <c r="BW13" s="2" t="n">
        <v>0</v>
      </c>
      <c r="BX13" s="2" t="n">
        <v>0</v>
      </c>
      <c r="BY13" s="2" t="n">
        <v>0</v>
      </c>
      <c r="BZ13" s="2" t="n">
        <v>0</v>
      </c>
      <c r="CA13" s="2" t="n">
        <v>0</v>
      </c>
      <c r="CB13" s="2" t="n">
        <v>0</v>
      </c>
      <c r="CC13" s="2" t="n">
        <v>0</v>
      </c>
      <c r="CD13" s="2" t="n">
        <v>0</v>
      </c>
      <c r="CE13" s="2" t="n">
        <v>0</v>
      </c>
      <c r="CF13" s="2" t="n">
        <v>0</v>
      </c>
      <c r="CG13" s="2" t="n">
        <v>0</v>
      </c>
      <c r="CH13" s="2" t="n">
        <v>0</v>
      </c>
      <c r="CI13" s="2" t="n">
        <v>0</v>
      </c>
      <c r="CJ13" s="2" t="n">
        <v>0</v>
      </c>
      <c r="CK13" s="2" t="n">
        <v>0</v>
      </c>
      <c r="CL13" s="2" t="n">
        <v>0</v>
      </c>
      <c r="CM13" s="2" t="n">
        <v>0</v>
      </c>
      <c r="CN13" s="2" t="n">
        <v>0</v>
      </c>
      <c r="CO13" s="2" t="n">
        <v>1</v>
      </c>
      <c r="CP13" s="2" t="n">
        <v>0</v>
      </c>
      <c r="CQ13" s="2" t="n">
        <v>0</v>
      </c>
      <c r="CR13" s="2" t="n">
        <v>0</v>
      </c>
      <c r="CS13" s="2" t="n">
        <v>0</v>
      </c>
      <c r="CT13" s="2" t="n">
        <v>0</v>
      </c>
      <c r="CU13" s="2" t="n">
        <v>0</v>
      </c>
      <c r="CV13" s="2" t="n">
        <v>0</v>
      </c>
      <c r="CW13" s="2" t="n">
        <v>0</v>
      </c>
      <c r="CX13" s="2" t="n">
        <v>0</v>
      </c>
      <c r="CY13" s="2" t="n">
        <v>0</v>
      </c>
      <c r="CZ13" s="2" t="n">
        <v>0</v>
      </c>
      <c r="DA13" s="2" t="n">
        <v>0</v>
      </c>
      <c r="DB13" s="2" t="n">
        <v>0</v>
      </c>
      <c r="DC13" s="2" t="n">
        <v>0</v>
      </c>
      <c r="DD13" s="2" t="n">
        <v>0</v>
      </c>
      <c r="DE13" s="2" t="n">
        <v>0</v>
      </c>
      <c r="DF13" s="2" t="n">
        <v>0</v>
      </c>
      <c r="DG13" s="2" t="n">
        <v>0</v>
      </c>
      <c r="DH13" s="2" t="n">
        <v>0</v>
      </c>
      <c r="DI13" s="2" t="n">
        <v>0</v>
      </c>
      <c r="DJ13" s="2" t="n">
        <v>0</v>
      </c>
      <c r="DK13" s="2" t="n">
        <v>0</v>
      </c>
      <c r="DL13" s="2" t="n">
        <v>0</v>
      </c>
      <c r="DM13" s="2" t="n">
        <v>0</v>
      </c>
      <c r="DN13" s="2" t="n">
        <v>0</v>
      </c>
      <c r="DO13" s="2" t="n">
        <v>0</v>
      </c>
      <c r="DP13" s="2" t="n">
        <v>0</v>
      </c>
      <c r="DQ13" s="2" t="n">
        <v>0</v>
      </c>
      <c r="DR13" s="2" t="n">
        <v>0</v>
      </c>
      <c r="DS13" s="2" t="n">
        <v>0</v>
      </c>
      <c r="DT13" s="2" t="n">
        <v>0</v>
      </c>
      <c r="DU13" s="2" t="n">
        <v>0</v>
      </c>
      <c r="DV13" s="2" t="n">
        <v>0</v>
      </c>
      <c r="DW13" s="2" t="n">
        <v>3</v>
      </c>
      <c r="DX13" s="2" t="n">
        <v>0</v>
      </c>
      <c r="DY13" s="2" t="n">
        <v>3</v>
      </c>
      <c r="DZ13" s="2" t="n">
        <v>0</v>
      </c>
      <c r="EA13" s="2" t="n">
        <v>0</v>
      </c>
      <c r="EB13" s="2" t="n">
        <v>0</v>
      </c>
      <c r="EC13" s="2" t="n">
        <v>0</v>
      </c>
      <c r="ED13" s="2" t="n">
        <v>0</v>
      </c>
      <c r="EE13" s="2" t="n">
        <v>0</v>
      </c>
      <c r="EF13" s="2" t="n">
        <v>0</v>
      </c>
      <c r="EG13" s="2" t="n">
        <v>0</v>
      </c>
      <c r="EH13" s="2" t="n">
        <v>0</v>
      </c>
      <c r="EI13" s="2" t="n">
        <v>0</v>
      </c>
      <c r="EJ13" s="2" t="n">
        <v>0</v>
      </c>
      <c r="EK13" s="2" t="n">
        <v>0</v>
      </c>
      <c r="EL13" s="2" t="n">
        <v>2</v>
      </c>
      <c r="EM13" s="2" t="n">
        <v>0</v>
      </c>
      <c r="EN13" s="2" t="n">
        <v>0</v>
      </c>
      <c r="EO13" s="2" t="n">
        <v>0</v>
      </c>
      <c r="EP13" s="2" t="n">
        <v>4</v>
      </c>
      <c r="EQ13" s="2" t="n">
        <v>0</v>
      </c>
      <c r="ER13" s="2" t="n">
        <v>0</v>
      </c>
      <c r="ES13" s="2" t="n">
        <v>0</v>
      </c>
      <c r="ET13" s="2" t="n">
        <v>0</v>
      </c>
      <c r="EU13" s="2" t="n">
        <v>0</v>
      </c>
    </row>
    <row r="14" customFormat="false" ht="15" hidden="false" customHeight="false" outlineLevel="0" collapsed="false">
      <c r="A14" s="2" t="s">
        <v>91</v>
      </c>
      <c r="B14" s="2" t="s">
        <v>90</v>
      </c>
      <c r="C14" s="2" t="n">
        <v>0</v>
      </c>
      <c r="D14" s="2" t="n">
        <v>0</v>
      </c>
      <c r="E14" s="2" t="n">
        <v>0</v>
      </c>
      <c r="F14" s="2" t="n">
        <v>0</v>
      </c>
      <c r="G14" s="2" t="n">
        <v>0</v>
      </c>
      <c r="H14" s="2" t="n">
        <v>0</v>
      </c>
      <c r="I14" s="2" t="n">
        <v>0</v>
      </c>
      <c r="J14" s="2" t="n">
        <v>0</v>
      </c>
      <c r="K14" s="2" t="n">
        <v>0</v>
      </c>
      <c r="L14" s="2" t="n">
        <v>0</v>
      </c>
      <c r="M14" s="2" t="n">
        <v>0</v>
      </c>
      <c r="N14" s="2" t="n">
        <v>0</v>
      </c>
      <c r="O14" s="2" t="n">
        <v>0</v>
      </c>
      <c r="P14" s="2" t="n">
        <v>0</v>
      </c>
      <c r="Q14" s="2" t="n">
        <v>0</v>
      </c>
      <c r="R14" s="2" t="n">
        <v>0</v>
      </c>
      <c r="S14" s="2" t="n">
        <v>0</v>
      </c>
      <c r="T14" s="2" t="n">
        <v>0</v>
      </c>
      <c r="U14" s="2" t="n">
        <v>0</v>
      </c>
      <c r="V14" s="2" t="n">
        <v>0</v>
      </c>
      <c r="W14" s="2" t="n">
        <v>2</v>
      </c>
      <c r="X14" s="2" t="n">
        <v>1</v>
      </c>
      <c r="Y14" s="2" t="n">
        <v>0</v>
      </c>
      <c r="Z14" s="2" t="n">
        <v>0</v>
      </c>
      <c r="AA14" s="2" t="n">
        <v>1</v>
      </c>
      <c r="AB14" s="2" t="n">
        <v>0</v>
      </c>
      <c r="AC14" s="2" t="n">
        <v>0</v>
      </c>
      <c r="AD14" s="2" t="n">
        <v>0</v>
      </c>
      <c r="AE14" s="2" t="n">
        <v>0</v>
      </c>
      <c r="AF14" s="2" t="n">
        <v>0</v>
      </c>
      <c r="AG14" s="2" t="n">
        <v>0</v>
      </c>
      <c r="AH14" s="2" t="n">
        <v>0</v>
      </c>
      <c r="AI14" s="2" t="n">
        <v>0</v>
      </c>
      <c r="AJ14" s="2" t="n">
        <v>0</v>
      </c>
      <c r="AK14" s="2" t="n">
        <v>0</v>
      </c>
      <c r="AL14" s="2" t="n">
        <v>0</v>
      </c>
      <c r="AM14" s="2" t="n">
        <v>0</v>
      </c>
      <c r="AN14" s="2" t="n">
        <v>0</v>
      </c>
      <c r="AO14" s="2" t="n">
        <v>0</v>
      </c>
      <c r="AP14" s="2" t="n">
        <v>0</v>
      </c>
      <c r="AQ14" s="2" t="n">
        <v>0</v>
      </c>
      <c r="AR14" s="2" t="n">
        <v>0</v>
      </c>
      <c r="AS14" s="2" t="n">
        <v>0</v>
      </c>
      <c r="AT14" s="2" t="n">
        <v>0</v>
      </c>
      <c r="AU14" s="2" t="n">
        <v>0</v>
      </c>
      <c r="AV14" s="2" t="n">
        <v>0</v>
      </c>
      <c r="AW14" s="2" t="n">
        <v>0</v>
      </c>
      <c r="AX14" s="2" t="n">
        <v>6</v>
      </c>
      <c r="AY14" s="2" t="n">
        <v>0</v>
      </c>
      <c r="AZ14" s="2" t="n">
        <v>0</v>
      </c>
      <c r="BA14" s="2" t="n">
        <v>0</v>
      </c>
      <c r="BB14" s="2" t="n">
        <v>0</v>
      </c>
      <c r="BC14" s="2" t="n">
        <v>0</v>
      </c>
      <c r="BD14" s="2" t="n">
        <v>0</v>
      </c>
      <c r="BE14" s="2" t="n">
        <v>0</v>
      </c>
      <c r="BF14" s="2" t="n">
        <v>0</v>
      </c>
      <c r="BG14" s="2" t="n">
        <v>0</v>
      </c>
      <c r="BH14" s="2" t="n">
        <v>0</v>
      </c>
      <c r="BI14" s="2" t="n">
        <v>0</v>
      </c>
      <c r="BJ14" s="2" t="n">
        <v>0</v>
      </c>
      <c r="BK14" s="2" t="n">
        <v>0</v>
      </c>
      <c r="BL14" s="2" t="n">
        <v>0</v>
      </c>
      <c r="BM14" s="2" t="n">
        <v>0</v>
      </c>
      <c r="BN14" s="2" t="n">
        <v>0</v>
      </c>
      <c r="BO14" s="2" t="n">
        <v>0</v>
      </c>
      <c r="BP14" s="2" t="n">
        <v>0</v>
      </c>
      <c r="BQ14" s="2" t="n">
        <v>0</v>
      </c>
      <c r="BR14" s="2" t="n">
        <v>0</v>
      </c>
      <c r="BS14" s="2" t="n">
        <v>0</v>
      </c>
      <c r="BT14" s="2" t="n">
        <v>0</v>
      </c>
      <c r="BU14" s="2" t="n">
        <v>0</v>
      </c>
      <c r="BV14" s="2" t="n">
        <v>0</v>
      </c>
      <c r="BW14" s="2" t="n">
        <v>0</v>
      </c>
      <c r="BX14" s="2" t="n">
        <v>0</v>
      </c>
      <c r="BY14" s="2" t="n">
        <v>0</v>
      </c>
      <c r="BZ14" s="2" t="n">
        <v>0</v>
      </c>
      <c r="CA14" s="2" t="n">
        <v>0</v>
      </c>
      <c r="CB14" s="2" t="n">
        <v>0</v>
      </c>
      <c r="CC14" s="2" t="n">
        <v>0</v>
      </c>
      <c r="CD14" s="2" t="n">
        <v>0</v>
      </c>
      <c r="CE14" s="2" t="n">
        <v>0</v>
      </c>
      <c r="CF14" s="2" t="n">
        <v>0</v>
      </c>
      <c r="CG14" s="2" t="n">
        <v>0</v>
      </c>
      <c r="CH14" s="2" t="n">
        <v>0</v>
      </c>
      <c r="CI14" s="2" t="n">
        <v>0</v>
      </c>
      <c r="CJ14" s="2" t="n">
        <v>0</v>
      </c>
      <c r="CK14" s="2" t="n">
        <v>0</v>
      </c>
      <c r="CL14" s="2" t="n">
        <v>4</v>
      </c>
      <c r="CM14" s="2" t="n">
        <v>0</v>
      </c>
      <c r="CN14" s="2" t="n">
        <v>0</v>
      </c>
      <c r="CO14" s="2" t="n">
        <v>0</v>
      </c>
      <c r="CP14" s="2" t="n">
        <v>0</v>
      </c>
      <c r="CQ14" s="2" t="n">
        <v>0</v>
      </c>
      <c r="CR14" s="2" t="n">
        <v>0</v>
      </c>
      <c r="CS14" s="2" t="n">
        <v>0</v>
      </c>
      <c r="CT14" s="2" t="n">
        <v>0</v>
      </c>
      <c r="CU14" s="2" t="n">
        <v>0</v>
      </c>
      <c r="CV14" s="2" t="n">
        <v>0</v>
      </c>
      <c r="CW14" s="2" t="n">
        <v>0</v>
      </c>
      <c r="CX14" s="2" t="n">
        <v>0</v>
      </c>
      <c r="CY14" s="2" t="n">
        <v>11</v>
      </c>
      <c r="CZ14" s="2" t="n">
        <v>0</v>
      </c>
      <c r="DA14" s="2" t="n">
        <v>0</v>
      </c>
      <c r="DB14" s="2" t="n">
        <v>0</v>
      </c>
      <c r="DC14" s="2" t="n">
        <v>0</v>
      </c>
      <c r="DD14" s="2" t="n">
        <v>0</v>
      </c>
      <c r="DE14" s="2" t="n">
        <v>0</v>
      </c>
      <c r="DF14" s="2" t="n">
        <v>0</v>
      </c>
      <c r="DG14" s="2" t="n">
        <v>1</v>
      </c>
      <c r="DH14" s="2" t="n">
        <v>0</v>
      </c>
      <c r="DI14" s="2" t="n">
        <v>6</v>
      </c>
      <c r="DJ14" s="2" t="n">
        <v>0</v>
      </c>
      <c r="DK14" s="2" t="n">
        <v>0</v>
      </c>
      <c r="DL14" s="2" t="n">
        <v>0</v>
      </c>
      <c r="DM14" s="2" t="n">
        <v>0</v>
      </c>
      <c r="DN14" s="2" t="n">
        <v>0</v>
      </c>
      <c r="DO14" s="2" t="n">
        <v>0</v>
      </c>
      <c r="DP14" s="2" t="n">
        <v>0</v>
      </c>
      <c r="DQ14" s="2" t="n">
        <v>0</v>
      </c>
      <c r="DR14" s="2" t="n">
        <v>0</v>
      </c>
      <c r="DS14" s="2" t="n">
        <v>0</v>
      </c>
      <c r="DT14" s="2" t="n">
        <v>0</v>
      </c>
      <c r="DU14" s="2" t="n">
        <v>0</v>
      </c>
      <c r="DV14" s="2" t="n">
        <v>0</v>
      </c>
      <c r="DW14" s="2" t="n">
        <v>15</v>
      </c>
      <c r="DX14" s="2" t="n">
        <v>2</v>
      </c>
      <c r="DY14" s="2" t="n">
        <v>0</v>
      </c>
      <c r="DZ14" s="2" t="n">
        <v>0</v>
      </c>
      <c r="EA14" s="2" t="n">
        <v>0</v>
      </c>
      <c r="EB14" s="2" t="n">
        <v>0</v>
      </c>
      <c r="EC14" s="2" t="n">
        <v>0</v>
      </c>
      <c r="ED14" s="2" t="n">
        <v>0</v>
      </c>
      <c r="EE14" s="2" t="n">
        <v>1</v>
      </c>
      <c r="EF14" s="2" t="n">
        <v>1</v>
      </c>
      <c r="EG14" s="2" t="n">
        <v>0</v>
      </c>
      <c r="EH14" s="2" t="n">
        <v>0</v>
      </c>
      <c r="EI14" s="2" t="n">
        <v>0</v>
      </c>
      <c r="EJ14" s="2" t="n">
        <v>0</v>
      </c>
      <c r="EK14" s="2" t="n">
        <v>0</v>
      </c>
      <c r="EL14" s="2" t="n">
        <v>0</v>
      </c>
      <c r="EM14" s="2" t="n">
        <v>0</v>
      </c>
      <c r="EN14" s="2" t="n">
        <v>0</v>
      </c>
      <c r="EO14" s="2" t="n">
        <v>0</v>
      </c>
      <c r="EP14" s="2" t="n">
        <v>0</v>
      </c>
      <c r="EQ14" s="2" t="n">
        <v>0</v>
      </c>
      <c r="ER14" s="2" t="n">
        <v>0</v>
      </c>
      <c r="ES14" s="2" t="n">
        <v>0</v>
      </c>
      <c r="ET14" s="2" t="n">
        <v>0</v>
      </c>
      <c r="EU14" s="2" t="n">
        <v>0</v>
      </c>
    </row>
    <row r="15" customFormat="false" ht="15" hidden="false" customHeight="false" outlineLevel="0" collapsed="false">
      <c r="A15" s="2" t="s">
        <v>92</v>
      </c>
      <c r="B15" s="2" t="s">
        <v>90</v>
      </c>
      <c r="C15" s="2" t="n">
        <v>0</v>
      </c>
      <c r="D15" s="2" t="n">
        <v>1</v>
      </c>
      <c r="E15" s="2" t="n">
        <v>3</v>
      </c>
      <c r="F15" s="2" t="n">
        <v>0</v>
      </c>
      <c r="G15" s="2" t="n">
        <v>0</v>
      </c>
      <c r="H15" s="2" t="n">
        <v>0</v>
      </c>
      <c r="I15" s="2" t="n">
        <v>0</v>
      </c>
      <c r="J15" s="2" t="n">
        <v>0</v>
      </c>
      <c r="K15" s="2" t="n">
        <v>0</v>
      </c>
      <c r="L15" s="2" t="n">
        <v>1</v>
      </c>
      <c r="M15" s="2" t="n">
        <v>0</v>
      </c>
      <c r="N15" s="2" t="n">
        <v>0</v>
      </c>
      <c r="O15" s="2" t="n">
        <v>0</v>
      </c>
      <c r="P15" s="2" t="n">
        <v>0</v>
      </c>
      <c r="Q15" s="2" t="n">
        <v>0</v>
      </c>
      <c r="R15" s="2" t="n">
        <v>1</v>
      </c>
      <c r="S15" s="2" t="n">
        <v>0</v>
      </c>
      <c r="T15" s="2" t="n">
        <v>0</v>
      </c>
      <c r="U15" s="2" t="n">
        <v>0</v>
      </c>
      <c r="V15" s="2" t="n">
        <v>0</v>
      </c>
      <c r="W15" s="2" t="n">
        <v>0</v>
      </c>
      <c r="X15" s="2" t="n">
        <v>0</v>
      </c>
      <c r="Y15" s="2" t="n">
        <v>0</v>
      </c>
      <c r="Z15" s="2" t="n">
        <v>1</v>
      </c>
      <c r="AA15" s="2" t="n">
        <v>0</v>
      </c>
      <c r="AB15" s="2" t="n">
        <v>0</v>
      </c>
      <c r="AC15" s="2" t="n">
        <v>0</v>
      </c>
      <c r="AD15" s="2" t="n">
        <v>0</v>
      </c>
      <c r="AE15" s="2" t="n">
        <v>0</v>
      </c>
      <c r="AF15" s="2" t="n">
        <v>0</v>
      </c>
      <c r="AG15" s="2" t="n">
        <v>0</v>
      </c>
      <c r="AH15" s="2" t="n">
        <v>0</v>
      </c>
      <c r="AI15" s="2" t="n">
        <v>0</v>
      </c>
      <c r="AJ15" s="2" t="n">
        <v>0</v>
      </c>
      <c r="AK15" s="2" t="n">
        <v>0</v>
      </c>
      <c r="AL15" s="2" t="n">
        <v>0</v>
      </c>
      <c r="AM15" s="2" t="n">
        <v>0</v>
      </c>
      <c r="AN15" s="2" t="n">
        <v>0</v>
      </c>
      <c r="AO15" s="2" t="n">
        <v>0</v>
      </c>
      <c r="AP15" s="2" t="n">
        <v>0</v>
      </c>
      <c r="AQ15" s="2" t="n">
        <v>0</v>
      </c>
      <c r="AR15" s="2" t="n">
        <v>1</v>
      </c>
      <c r="AS15" s="2" t="n">
        <v>9</v>
      </c>
      <c r="AT15" s="2" t="n">
        <v>0</v>
      </c>
      <c r="AU15" s="2" t="n">
        <v>0</v>
      </c>
      <c r="AV15" s="2" t="n">
        <v>0</v>
      </c>
      <c r="AW15" s="2" t="n">
        <v>0</v>
      </c>
      <c r="AX15" s="2" t="n">
        <v>0</v>
      </c>
      <c r="AY15" s="2" t="n">
        <v>0</v>
      </c>
      <c r="AZ15" s="2" t="n">
        <v>0</v>
      </c>
      <c r="BA15" s="2" t="n">
        <v>0</v>
      </c>
      <c r="BB15" s="2" t="n">
        <v>0</v>
      </c>
      <c r="BC15" s="2" t="n">
        <v>0</v>
      </c>
      <c r="BD15" s="2" t="n">
        <v>0</v>
      </c>
      <c r="BE15" s="2" t="n">
        <v>1</v>
      </c>
      <c r="BF15" s="2" t="n">
        <v>0</v>
      </c>
      <c r="BG15" s="2" t="n">
        <v>0</v>
      </c>
      <c r="BH15" s="2" t="n">
        <v>0</v>
      </c>
      <c r="BI15" s="2" t="n">
        <v>0</v>
      </c>
      <c r="BJ15" s="2" t="n">
        <v>0</v>
      </c>
      <c r="BK15" s="2" t="n">
        <v>0</v>
      </c>
      <c r="BL15" s="2" t="n">
        <v>0</v>
      </c>
      <c r="BM15" s="2" t="n">
        <v>0</v>
      </c>
      <c r="BN15" s="2" t="n">
        <v>0</v>
      </c>
      <c r="BO15" s="2" t="n">
        <v>0</v>
      </c>
      <c r="BP15" s="2" t="n">
        <v>0</v>
      </c>
      <c r="BQ15" s="2" t="n">
        <v>0</v>
      </c>
      <c r="BR15" s="2" t="n">
        <v>0</v>
      </c>
      <c r="BS15" s="2" t="n">
        <v>0</v>
      </c>
      <c r="BT15" s="2" t="n">
        <v>0</v>
      </c>
      <c r="BU15" s="2" t="n">
        <v>0</v>
      </c>
      <c r="BV15" s="2" t="n">
        <v>0</v>
      </c>
      <c r="BW15" s="2" t="n">
        <v>4</v>
      </c>
      <c r="BX15" s="2" t="n">
        <v>0</v>
      </c>
      <c r="BY15" s="2" t="n">
        <v>0</v>
      </c>
      <c r="BZ15" s="2" t="n">
        <v>0</v>
      </c>
      <c r="CA15" s="2" t="n">
        <v>0</v>
      </c>
      <c r="CB15" s="2" t="n">
        <v>0</v>
      </c>
      <c r="CC15" s="2" t="n">
        <v>0</v>
      </c>
      <c r="CD15" s="2" t="n">
        <v>1</v>
      </c>
      <c r="CE15" s="2" t="n">
        <v>0</v>
      </c>
      <c r="CF15" s="2" t="n">
        <v>0</v>
      </c>
      <c r="CG15" s="2" t="n">
        <v>0</v>
      </c>
      <c r="CH15" s="2" t="n">
        <v>0</v>
      </c>
      <c r="CI15" s="2" t="n">
        <v>1</v>
      </c>
      <c r="CJ15" s="2" t="n">
        <v>0</v>
      </c>
      <c r="CK15" s="2" t="n">
        <v>0</v>
      </c>
      <c r="CL15" s="2" t="n">
        <v>0</v>
      </c>
      <c r="CM15" s="2" t="n">
        <v>0</v>
      </c>
      <c r="CN15" s="2" t="n">
        <v>0</v>
      </c>
      <c r="CO15" s="2" t="n">
        <v>0</v>
      </c>
      <c r="CP15" s="2" t="n">
        <v>0</v>
      </c>
      <c r="CQ15" s="2" t="n">
        <v>0</v>
      </c>
      <c r="CR15" s="2" t="n">
        <v>0</v>
      </c>
      <c r="CS15" s="2" t="n">
        <v>0</v>
      </c>
      <c r="CT15" s="2" t="n">
        <v>0</v>
      </c>
      <c r="CU15" s="2" t="n">
        <v>1</v>
      </c>
      <c r="CV15" s="2" t="n">
        <v>0</v>
      </c>
      <c r="CW15" s="2" t="n">
        <v>0</v>
      </c>
      <c r="CX15" s="2" t="n">
        <v>0</v>
      </c>
      <c r="CY15" s="2" t="n">
        <v>0</v>
      </c>
      <c r="CZ15" s="2" t="n">
        <v>0</v>
      </c>
      <c r="DA15" s="2" t="n">
        <v>0</v>
      </c>
      <c r="DB15" s="2" t="n">
        <v>0</v>
      </c>
      <c r="DC15" s="2" t="n">
        <v>0</v>
      </c>
      <c r="DD15" s="2" t="n">
        <v>2</v>
      </c>
      <c r="DE15" s="2" t="n">
        <v>1</v>
      </c>
      <c r="DF15" s="2" t="n">
        <v>0</v>
      </c>
      <c r="DG15" s="2" t="n">
        <v>0</v>
      </c>
      <c r="DH15" s="2" t="n">
        <v>0</v>
      </c>
      <c r="DI15" s="2" t="n">
        <v>0</v>
      </c>
      <c r="DJ15" s="2" t="n">
        <v>0</v>
      </c>
      <c r="DK15" s="2" t="n">
        <v>7</v>
      </c>
      <c r="DL15" s="2" t="n">
        <v>0</v>
      </c>
      <c r="DM15" s="2" t="n">
        <v>0</v>
      </c>
      <c r="DN15" s="2" t="n">
        <v>0</v>
      </c>
      <c r="DO15" s="2" t="n">
        <v>0</v>
      </c>
      <c r="DP15" s="2" t="n">
        <v>0</v>
      </c>
      <c r="DQ15" s="2" t="n">
        <v>0</v>
      </c>
      <c r="DR15" s="2" t="n">
        <v>0</v>
      </c>
      <c r="DS15" s="2" t="n">
        <v>0</v>
      </c>
      <c r="DT15" s="2" t="n">
        <v>0</v>
      </c>
      <c r="DU15" s="2" t="n">
        <v>0</v>
      </c>
      <c r="DV15" s="2" t="n">
        <v>0</v>
      </c>
      <c r="DW15" s="2" t="n">
        <v>2</v>
      </c>
      <c r="DX15" s="2" t="n">
        <v>4</v>
      </c>
      <c r="DY15" s="2" t="n">
        <v>9</v>
      </c>
      <c r="DZ15" s="2" t="n">
        <v>0</v>
      </c>
      <c r="EA15" s="2" t="n">
        <v>0</v>
      </c>
      <c r="EB15" s="2" t="n">
        <v>1</v>
      </c>
      <c r="EC15" s="2" t="n">
        <v>0</v>
      </c>
      <c r="ED15" s="2" t="n">
        <v>0</v>
      </c>
      <c r="EE15" s="2" t="n">
        <v>0</v>
      </c>
      <c r="EF15" s="2" t="n">
        <v>0</v>
      </c>
      <c r="EG15" s="2" t="n">
        <v>0</v>
      </c>
      <c r="EH15" s="2" t="n">
        <v>0</v>
      </c>
      <c r="EI15" s="2" t="n">
        <v>0</v>
      </c>
      <c r="EJ15" s="2" t="n">
        <v>3</v>
      </c>
      <c r="EK15" s="2" t="n">
        <v>0</v>
      </c>
      <c r="EL15" s="2" t="n">
        <v>7</v>
      </c>
      <c r="EM15" s="2" t="n">
        <v>0</v>
      </c>
      <c r="EN15" s="2" t="n">
        <v>2</v>
      </c>
      <c r="EO15" s="2" t="n">
        <v>0</v>
      </c>
      <c r="EP15" s="2" t="n">
        <v>0</v>
      </c>
      <c r="EQ15" s="2" t="n">
        <v>0</v>
      </c>
      <c r="ER15" s="2" t="n">
        <v>0</v>
      </c>
      <c r="ES15" s="2" t="n">
        <v>1</v>
      </c>
      <c r="ET15" s="2" t="n">
        <v>2</v>
      </c>
      <c r="EU15" s="2" t="n">
        <v>0</v>
      </c>
    </row>
    <row r="16" customFormat="false" ht="15" hidden="false" customHeight="false" outlineLevel="0" collapsed="false">
      <c r="A16" s="2" t="s">
        <v>93</v>
      </c>
      <c r="B16" s="2" t="s">
        <v>90</v>
      </c>
      <c r="C16" s="2" t="n">
        <v>0</v>
      </c>
      <c r="D16" s="2" t="n">
        <v>0</v>
      </c>
      <c r="E16" s="2" t="n">
        <v>0</v>
      </c>
      <c r="F16" s="2" t="n">
        <v>0</v>
      </c>
      <c r="G16" s="2" t="n">
        <v>0</v>
      </c>
      <c r="H16" s="2" t="n">
        <v>0</v>
      </c>
      <c r="I16" s="2" t="n">
        <v>0</v>
      </c>
      <c r="J16" s="2" t="n">
        <v>0</v>
      </c>
      <c r="K16" s="2" t="n">
        <v>0</v>
      </c>
      <c r="L16" s="2" t="n">
        <v>0</v>
      </c>
      <c r="M16" s="2" t="n">
        <v>0</v>
      </c>
      <c r="N16" s="2" t="n">
        <v>0</v>
      </c>
      <c r="O16" s="2" t="n">
        <v>0</v>
      </c>
      <c r="P16" s="2" t="n">
        <v>0</v>
      </c>
      <c r="Q16" s="2" t="n">
        <v>0</v>
      </c>
      <c r="R16" s="2" t="n">
        <v>0</v>
      </c>
      <c r="S16" s="2" t="n">
        <v>0</v>
      </c>
      <c r="T16" s="2" t="n">
        <v>0</v>
      </c>
      <c r="U16" s="2" t="n">
        <v>0</v>
      </c>
      <c r="V16" s="2" t="n">
        <v>0</v>
      </c>
      <c r="W16" s="2" t="n">
        <v>2</v>
      </c>
      <c r="X16" s="2" t="n">
        <v>1</v>
      </c>
      <c r="Y16" s="2" t="n">
        <v>0</v>
      </c>
      <c r="Z16" s="2" t="n">
        <v>0</v>
      </c>
      <c r="AA16" s="2" t="n">
        <v>0</v>
      </c>
      <c r="AB16" s="2" t="n">
        <v>0</v>
      </c>
      <c r="AC16" s="2" t="n">
        <v>0</v>
      </c>
      <c r="AD16" s="2" t="n">
        <v>0</v>
      </c>
      <c r="AE16" s="2" t="n">
        <v>0</v>
      </c>
      <c r="AF16" s="2" t="n">
        <v>0</v>
      </c>
      <c r="AG16" s="2" t="n">
        <v>0</v>
      </c>
      <c r="AH16" s="2" t="n">
        <v>0</v>
      </c>
      <c r="AI16" s="2" t="n">
        <v>0</v>
      </c>
      <c r="AJ16" s="2" t="n">
        <v>0</v>
      </c>
      <c r="AK16" s="2" t="n">
        <v>0</v>
      </c>
      <c r="AL16" s="2" t="n">
        <v>0</v>
      </c>
      <c r="AM16" s="2" t="n">
        <v>0</v>
      </c>
      <c r="AN16" s="2" t="n">
        <v>0</v>
      </c>
      <c r="AO16" s="2" t="n">
        <v>0</v>
      </c>
      <c r="AP16" s="2" t="n">
        <v>0</v>
      </c>
      <c r="AQ16" s="2" t="n">
        <v>0</v>
      </c>
      <c r="AR16" s="2" t="n">
        <v>0</v>
      </c>
      <c r="AS16" s="2" t="n">
        <v>0</v>
      </c>
      <c r="AT16" s="2" t="n">
        <v>0</v>
      </c>
      <c r="AU16" s="2" t="n">
        <v>0</v>
      </c>
      <c r="AV16" s="2" t="n">
        <v>0</v>
      </c>
      <c r="AW16" s="2" t="n">
        <v>0</v>
      </c>
      <c r="AX16" s="2" t="n">
        <v>1</v>
      </c>
      <c r="AY16" s="2" t="n">
        <v>0</v>
      </c>
      <c r="AZ16" s="2" t="n">
        <v>0</v>
      </c>
      <c r="BA16" s="2" t="n">
        <v>0</v>
      </c>
      <c r="BB16" s="2" t="n">
        <v>0</v>
      </c>
      <c r="BC16" s="2" t="n">
        <v>0</v>
      </c>
      <c r="BD16" s="2" t="n">
        <v>0</v>
      </c>
      <c r="BE16" s="2" t="n">
        <v>0</v>
      </c>
      <c r="BF16" s="2" t="n">
        <v>0</v>
      </c>
      <c r="BG16" s="2" t="n">
        <v>0</v>
      </c>
      <c r="BH16" s="2" t="n">
        <v>0</v>
      </c>
      <c r="BI16" s="2" t="n">
        <v>0</v>
      </c>
      <c r="BJ16" s="2" t="n">
        <v>0</v>
      </c>
      <c r="BK16" s="2" t="n">
        <v>0</v>
      </c>
      <c r="BL16" s="2" t="n">
        <v>0</v>
      </c>
      <c r="BM16" s="2" t="n">
        <v>0</v>
      </c>
      <c r="BN16" s="2" t="n">
        <v>0</v>
      </c>
      <c r="BO16" s="2" t="n">
        <v>0</v>
      </c>
      <c r="BP16" s="2" t="n">
        <v>0</v>
      </c>
      <c r="BQ16" s="2" t="n">
        <v>0</v>
      </c>
      <c r="BR16" s="2" t="n">
        <v>0</v>
      </c>
      <c r="BS16" s="2" t="n">
        <v>0</v>
      </c>
      <c r="BT16" s="2" t="n">
        <v>0</v>
      </c>
      <c r="BU16" s="2" t="n">
        <v>0</v>
      </c>
      <c r="BV16" s="2" t="n">
        <v>0</v>
      </c>
      <c r="BW16" s="2" t="n">
        <v>1</v>
      </c>
      <c r="BX16" s="2" t="n">
        <v>0</v>
      </c>
      <c r="BY16" s="2" t="n">
        <v>0</v>
      </c>
      <c r="BZ16" s="2" t="n">
        <v>0</v>
      </c>
      <c r="CA16" s="2" t="n">
        <v>0</v>
      </c>
      <c r="CB16" s="2" t="n">
        <v>0</v>
      </c>
      <c r="CC16" s="2" t="n">
        <v>0</v>
      </c>
      <c r="CD16" s="2" t="n">
        <v>8</v>
      </c>
      <c r="CE16" s="2" t="n">
        <v>0</v>
      </c>
      <c r="CF16" s="2" t="n">
        <v>0</v>
      </c>
      <c r="CG16" s="2" t="n">
        <v>0</v>
      </c>
      <c r="CH16" s="2" t="n">
        <v>0</v>
      </c>
      <c r="CI16" s="2" t="n">
        <v>0</v>
      </c>
      <c r="CJ16" s="2" t="n">
        <v>0</v>
      </c>
      <c r="CK16" s="2" t="n">
        <v>0</v>
      </c>
      <c r="CL16" s="2" t="n">
        <v>5</v>
      </c>
      <c r="CM16" s="2" t="n">
        <v>0</v>
      </c>
      <c r="CN16" s="2" t="n">
        <v>0</v>
      </c>
      <c r="CO16" s="2" t="n">
        <v>1</v>
      </c>
      <c r="CP16" s="2" t="n">
        <v>0</v>
      </c>
      <c r="CQ16" s="2" t="n">
        <v>0</v>
      </c>
      <c r="CR16" s="2" t="n">
        <v>0</v>
      </c>
      <c r="CS16" s="2" t="n">
        <v>0</v>
      </c>
      <c r="CT16" s="2" t="n">
        <v>0</v>
      </c>
      <c r="CU16" s="2" t="n">
        <v>0</v>
      </c>
      <c r="CV16" s="2" t="n">
        <v>0</v>
      </c>
      <c r="CW16" s="2" t="n">
        <v>0</v>
      </c>
      <c r="CX16" s="2" t="n">
        <v>0</v>
      </c>
      <c r="CY16" s="2" t="n">
        <v>0</v>
      </c>
      <c r="CZ16" s="2" t="n">
        <v>0</v>
      </c>
      <c r="DA16" s="2" t="n">
        <v>0</v>
      </c>
      <c r="DB16" s="2" t="n">
        <v>0</v>
      </c>
      <c r="DC16" s="2" t="n">
        <v>0</v>
      </c>
      <c r="DD16" s="2" t="n">
        <v>0</v>
      </c>
      <c r="DE16" s="2" t="n">
        <v>0</v>
      </c>
      <c r="DF16" s="2" t="n">
        <v>0</v>
      </c>
      <c r="DG16" s="2" t="n">
        <v>0</v>
      </c>
      <c r="DH16" s="2" t="n">
        <v>0</v>
      </c>
      <c r="DI16" s="2" t="n">
        <v>8</v>
      </c>
      <c r="DJ16" s="2" t="n">
        <v>0</v>
      </c>
      <c r="DK16" s="2" t="n">
        <v>0</v>
      </c>
      <c r="DL16" s="2" t="n">
        <v>0</v>
      </c>
      <c r="DM16" s="2" t="n">
        <v>0</v>
      </c>
      <c r="DN16" s="2" t="n">
        <v>0</v>
      </c>
      <c r="DO16" s="2" t="n">
        <v>0</v>
      </c>
      <c r="DP16" s="2" t="n">
        <v>0</v>
      </c>
      <c r="DQ16" s="2" t="n">
        <v>0</v>
      </c>
      <c r="DR16" s="2" t="n">
        <v>0</v>
      </c>
      <c r="DS16" s="2" t="n">
        <v>0</v>
      </c>
      <c r="DT16" s="2" t="n">
        <v>0</v>
      </c>
      <c r="DU16" s="2" t="n">
        <v>0</v>
      </c>
      <c r="DV16" s="2" t="n">
        <v>0</v>
      </c>
      <c r="DW16" s="2" t="n">
        <v>6</v>
      </c>
      <c r="DX16" s="2" t="n">
        <v>1</v>
      </c>
      <c r="DY16" s="2" t="n">
        <v>0</v>
      </c>
      <c r="DZ16" s="2" t="n">
        <v>0</v>
      </c>
      <c r="EA16" s="2" t="n">
        <v>0</v>
      </c>
      <c r="EB16" s="2" t="n">
        <v>0</v>
      </c>
      <c r="EC16" s="2" t="n">
        <v>0</v>
      </c>
      <c r="ED16" s="2" t="n">
        <v>0</v>
      </c>
      <c r="EE16" s="2" t="n">
        <v>0</v>
      </c>
      <c r="EF16" s="2" t="n">
        <v>0</v>
      </c>
      <c r="EG16" s="2" t="n">
        <v>0</v>
      </c>
      <c r="EH16" s="2" t="n">
        <v>2</v>
      </c>
      <c r="EI16" s="2" t="n">
        <v>0</v>
      </c>
      <c r="EJ16" s="2" t="n">
        <v>0</v>
      </c>
      <c r="EK16" s="2" t="n">
        <v>0</v>
      </c>
      <c r="EL16" s="2" t="n">
        <v>0</v>
      </c>
      <c r="EM16" s="2" t="n">
        <v>0</v>
      </c>
      <c r="EN16" s="2" t="n">
        <v>0</v>
      </c>
      <c r="EO16" s="2" t="n">
        <v>0</v>
      </c>
      <c r="EP16" s="2" t="n">
        <v>0</v>
      </c>
      <c r="EQ16" s="2" t="n">
        <v>0</v>
      </c>
      <c r="ER16" s="2" t="n">
        <v>6</v>
      </c>
      <c r="ES16" s="2" t="n">
        <v>142</v>
      </c>
      <c r="ET16" s="2" t="n">
        <v>0</v>
      </c>
      <c r="EU16" s="2" t="n">
        <v>0</v>
      </c>
    </row>
    <row r="17" customFormat="false" ht="15" hidden="false" customHeight="false" outlineLevel="0" collapsed="false">
      <c r="A17" s="2" t="s">
        <v>94</v>
      </c>
      <c r="B17" s="2" t="s">
        <v>95</v>
      </c>
      <c r="C17" s="2" t="n">
        <v>0</v>
      </c>
      <c r="D17" s="2" t="n">
        <v>0</v>
      </c>
      <c r="E17" s="2" t="n">
        <v>0</v>
      </c>
      <c r="F17" s="2" t="n">
        <v>0</v>
      </c>
      <c r="G17" s="2" t="n">
        <v>0</v>
      </c>
      <c r="H17" s="2" t="n">
        <v>0</v>
      </c>
      <c r="I17" s="2" t="n">
        <v>0</v>
      </c>
      <c r="J17" s="2" t="n">
        <v>0</v>
      </c>
      <c r="K17" s="2" t="n">
        <v>0</v>
      </c>
      <c r="L17" s="2" t="n">
        <v>0</v>
      </c>
      <c r="M17" s="2" t="n">
        <v>9</v>
      </c>
      <c r="N17" s="2" t="n">
        <v>1</v>
      </c>
      <c r="O17" s="2" t="n">
        <v>0</v>
      </c>
      <c r="P17" s="2" t="n">
        <v>1</v>
      </c>
      <c r="Q17" s="2" t="n">
        <v>0</v>
      </c>
      <c r="R17" s="2" t="n">
        <v>0</v>
      </c>
      <c r="S17" s="2" t="n">
        <v>0</v>
      </c>
      <c r="T17" s="2" t="n">
        <v>2</v>
      </c>
      <c r="U17" s="2" t="n">
        <v>0</v>
      </c>
      <c r="V17" s="2" t="n">
        <v>0</v>
      </c>
      <c r="W17" s="2" t="n">
        <v>0</v>
      </c>
      <c r="X17" s="2" t="n">
        <v>0</v>
      </c>
      <c r="Y17" s="2" t="n">
        <v>0</v>
      </c>
      <c r="Z17" s="2" t="n">
        <v>0</v>
      </c>
      <c r="AA17" s="2" t="n">
        <v>0</v>
      </c>
      <c r="AB17" s="2" t="n">
        <v>0</v>
      </c>
      <c r="AC17" s="2" t="n">
        <v>0</v>
      </c>
      <c r="AD17" s="2" t="n">
        <v>0</v>
      </c>
      <c r="AE17" s="2" t="n">
        <v>1</v>
      </c>
      <c r="AF17" s="2" t="n">
        <v>0</v>
      </c>
      <c r="AG17" s="2" t="n">
        <v>0</v>
      </c>
      <c r="AH17" s="2" t="n">
        <v>1</v>
      </c>
      <c r="AI17" s="2" t="n">
        <v>0</v>
      </c>
      <c r="AJ17" s="2" t="n">
        <v>0</v>
      </c>
      <c r="AK17" s="2" t="n">
        <v>0</v>
      </c>
      <c r="AL17" s="2" t="n">
        <v>0</v>
      </c>
      <c r="AM17" s="2" t="n">
        <v>0</v>
      </c>
      <c r="AN17" s="2" t="n">
        <v>0</v>
      </c>
      <c r="AO17" s="2" t="n">
        <v>1</v>
      </c>
      <c r="AP17" s="2" t="n">
        <v>0</v>
      </c>
      <c r="AQ17" s="2" t="n">
        <v>0</v>
      </c>
      <c r="AR17" s="2" t="n">
        <v>0</v>
      </c>
      <c r="AS17" s="2" t="n">
        <v>0</v>
      </c>
      <c r="AT17" s="2" t="n">
        <v>2</v>
      </c>
      <c r="AU17" s="2" t="n">
        <v>0</v>
      </c>
      <c r="AV17" s="2" t="n">
        <v>0</v>
      </c>
      <c r="AW17" s="2" t="n">
        <v>0</v>
      </c>
      <c r="AX17" s="2" t="n">
        <v>5</v>
      </c>
      <c r="AY17" s="2" t="n">
        <v>0</v>
      </c>
      <c r="AZ17" s="2" t="n">
        <v>0</v>
      </c>
      <c r="BA17" s="2" t="n">
        <v>0</v>
      </c>
      <c r="BB17" s="2" t="n">
        <v>0</v>
      </c>
      <c r="BC17" s="2" t="n">
        <v>0</v>
      </c>
      <c r="BD17" s="2" t="n">
        <v>0</v>
      </c>
      <c r="BE17" s="2" t="n">
        <v>0</v>
      </c>
      <c r="BF17" s="2" t="n">
        <v>0</v>
      </c>
      <c r="BG17" s="2" t="n">
        <v>0</v>
      </c>
      <c r="BH17" s="2" t="n">
        <v>0</v>
      </c>
      <c r="BI17" s="2" t="n">
        <v>0</v>
      </c>
      <c r="BJ17" s="2" t="n">
        <v>0</v>
      </c>
      <c r="BK17" s="2" t="n">
        <v>0</v>
      </c>
      <c r="BL17" s="2" t="n">
        <v>1</v>
      </c>
      <c r="BM17" s="2" t="n">
        <v>0</v>
      </c>
      <c r="BN17" s="2" t="n">
        <v>0</v>
      </c>
      <c r="BO17" s="2" t="n">
        <v>0</v>
      </c>
      <c r="BP17" s="2" t="n">
        <v>0</v>
      </c>
      <c r="BQ17" s="2" t="n">
        <v>0</v>
      </c>
      <c r="BR17" s="2" t="n">
        <v>0</v>
      </c>
      <c r="BS17" s="2" t="n">
        <v>0</v>
      </c>
      <c r="BT17" s="2" t="n">
        <v>0</v>
      </c>
      <c r="BU17" s="2" t="n">
        <v>0</v>
      </c>
      <c r="BV17" s="2" t="n">
        <v>0</v>
      </c>
      <c r="BW17" s="2" t="n">
        <v>0</v>
      </c>
      <c r="BX17" s="2" t="n">
        <v>0</v>
      </c>
      <c r="BY17" s="2" t="n">
        <v>0</v>
      </c>
      <c r="BZ17" s="2" t="n">
        <v>0</v>
      </c>
      <c r="CA17" s="2" t="n">
        <v>0</v>
      </c>
      <c r="CB17" s="2" t="n">
        <v>0</v>
      </c>
      <c r="CC17" s="2" t="n">
        <v>0</v>
      </c>
      <c r="CD17" s="2" t="n">
        <v>0</v>
      </c>
      <c r="CE17" s="2" t="n">
        <v>0</v>
      </c>
      <c r="CF17" s="2" t="n">
        <v>0</v>
      </c>
      <c r="CG17" s="2" t="n">
        <v>0</v>
      </c>
      <c r="CH17" s="2" t="n">
        <v>0</v>
      </c>
      <c r="CI17" s="2" t="n">
        <v>0</v>
      </c>
      <c r="CJ17" s="2" t="n">
        <v>0</v>
      </c>
      <c r="CK17" s="2" t="n">
        <v>0</v>
      </c>
      <c r="CL17" s="2" t="n">
        <v>13</v>
      </c>
      <c r="CM17" s="2" t="n">
        <v>0</v>
      </c>
      <c r="CN17" s="2" t="n">
        <v>0</v>
      </c>
      <c r="CO17" s="2" t="n">
        <v>1</v>
      </c>
      <c r="CP17" s="2" t="n">
        <v>0</v>
      </c>
      <c r="CQ17" s="2" t="n">
        <v>12</v>
      </c>
      <c r="CR17" s="2" t="n">
        <v>0</v>
      </c>
      <c r="CS17" s="2" t="n">
        <v>0</v>
      </c>
      <c r="CT17" s="2" t="n">
        <v>0</v>
      </c>
      <c r="CU17" s="2" t="n">
        <v>0</v>
      </c>
      <c r="CV17" s="2" t="n">
        <v>0</v>
      </c>
      <c r="CW17" s="2" t="n">
        <v>0</v>
      </c>
      <c r="CX17" s="2" t="n">
        <v>1</v>
      </c>
      <c r="CY17" s="2" t="n">
        <v>20</v>
      </c>
      <c r="CZ17" s="2" t="n">
        <v>0</v>
      </c>
      <c r="DA17" s="2" t="n">
        <v>0</v>
      </c>
      <c r="DB17" s="2" t="n">
        <v>0</v>
      </c>
      <c r="DC17" s="2" t="n">
        <v>0</v>
      </c>
      <c r="DD17" s="2" t="n">
        <v>0</v>
      </c>
      <c r="DE17" s="2" t="n">
        <v>0</v>
      </c>
      <c r="DF17" s="2" t="n">
        <v>0</v>
      </c>
      <c r="DG17" s="2" t="n">
        <v>0</v>
      </c>
      <c r="DH17" s="2" t="n">
        <v>0</v>
      </c>
      <c r="DI17" s="2" t="n">
        <v>25</v>
      </c>
      <c r="DJ17" s="2" t="n">
        <v>0</v>
      </c>
      <c r="DK17" s="2" t="n">
        <v>0</v>
      </c>
      <c r="DL17" s="2" t="n">
        <v>0</v>
      </c>
      <c r="DM17" s="2" t="n">
        <v>0</v>
      </c>
      <c r="DN17" s="2" t="n">
        <v>0</v>
      </c>
      <c r="DO17" s="2" t="n">
        <v>0</v>
      </c>
      <c r="DP17" s="2" t="n">
        <v>0</v>
      </c>
      <c r="DQ17" s="2" t="n">
        <v>0</v>
      </c>
      <c r="DR17" s="2" t="n">
        <v>0</v>
      </c>
      <c r="DS17" s="2" t="n">
        <v>0</v>
      </c>
      <c r="DT17" s="2" t="n">
        <v>0</v>
      </c>
      <c r="DU17" s="2" t="n">
        <v>0</v>
      </c>
      <c r="DV17" s="2" t="n">
        <v>0</v>
      </c>
      <c r="DW17" s="2" t="n">
        <v>12</v>
      </c>
      <c r="DX17" s="2" t="n">
        <v>0</v>
      </c>
      <c r="DY17" s="2" t="n">
        <v>0</v>
      </c>
      <c r="DZ17" s="2" t="n">
        <v>0</v>
      </c>
      <c r="EA17" s="2" t="n">
        <v>0</v>
      </c>
      <c r="EB17" s="2" t="n">
        <v>0</v>
      </c>
      <c r="EC17" s="2" t="n">
        <v>0</v>
      </c>
      <c r="ED17" s="2" t="n">
        <v>1</v>
      </c>
      <c r="EE17" s="2" t="n">
        <v>0</v>
      </c>
      <c r="EF17" s="2" t="n">
        <v>0</v>
      </c>
      <c r="EG17" s="2" t="n">
        <v>0</v>
      </c>
      <c r="EH17" s="2" t="n">
        <v>0</v>
      </c>
      <c r="EI17" s="2" t="n">
        <v>0</v>
      </c>
      <c r="EJ17" s="2" t="n">
        <v>0</v>
      </c>
      <c r="EK17" s="2" t="n">
        <v>0</v>
      </c>
      <c r="EL17" s="2" t="n">
        <v>4</v>
      </c>
      <c r="EM17" s="2" t="n">
        <v>0</v>
      </c>
      <c r="EN17" s="2" t="n">
        <v>0</v>
      </c>
      <c r="EO17" s="2" t="n">
        <v>38</v>
      </c>
      <c r="EP17" s="2" t="n">
        <v>0</v>
      </c>
      <c r="EQ17" s="2" t="n">
        <v>0</v>
      </c>
      <c r="ER17" s="2" t="n">
        <v>0</v>
      </c>
      <c r="ES17" s="2" t="n">
        <v>0</v>
      </c>
      <c r="ET17" s="2" t="n">
        <v>0</v>
      </c>
      <c r="EU17" s="2" t="n">
        <v>0</v>
      </c>
    </row>
    <row r="18" customFormat="false" ht="15" hidden="false" customHeight="false" outlineLevel="0" collapsed="false">
      <c r="A18" s="2" t="s">
        <v>96</v>
      </c>
      <c r="B18" s="2" t="s">
        <v>95</v>
      </c>
      <c r="C18" s="2" t="n">
        <v>2</v>
      </c>
      <c r="D18" s="2" t="n">
        <v>0</v>
      </c>
      <c r="E18" s="2" t="n">
        <v>0</v>
      </c>
      <c r="F18" s="2" t="n">
        <v>0</v>
      </c>
      <c r="G18" s="2" t="n">
        <v>0</v>
      </c>
      <c r="H18" s="2" t="n">
        <v>0</v>
      </c>
      <c r="I18" s="2" t="n">
        <v>0</v>
      </c>
      <c r="J18" s="2" t="n">
        <v>0</v>
      </c>
      <c r="K18" s="2" t="n">
        <v>0</v>
      </c>
      <c r="L18" s="2" t="n">
        <v>0</v>
      </c>
      <c r="M18" s="2" t="n">
        <v>0</v>
      </c>
      <c r="N18" s="2" t="n">
        <v>0</v>
      </c>
      <c r="O18" s="2" t="n">
        <v>0</v>
      </c>
      <c r="P18" s="2" t="n">
        <v>0</v>
      </c>
      <c r="Q18" s="2" t="n">
        <v>0</v>
      </c>
      <c r="R18" s="2" t="n">
        <v>0</v>
      </c>
      <c r="S18" s="2" t="n">
        <v>0</v>
      </c>
      <c r="T18" s="2" t="n">
        <v>1</v>
      </c>
      <c r="U18" s="2" t="n">
        <v>2</v>
      </c>
      <c r="V18" s="2" t="n">
        <v>0</v>
      </c>
      <c r="W18" s="2" t="n">
        <v>1</v>
      </c>
      <c r="X18" s="2" t="n">
        <v>0</v>
      </c>
      <c r="Y18" s="2" t="n">
        <v>1</v>
      </c>
      <c r="Z18" s="2" t="n">
        <v>0</v>
      </c>
      <c r="AA18" s="2" t="n">
        <v>0</v>
      </c>
      <c r="AB18" s="2" t="n">
        <v>0</v>
      </c>
      <c r="AC18" s="2" t="n">
        <v>0</v>
      </c>
      <c r="AD18" s="2" t="n">
        <v>0</v>
      </c>
      <c r="AE18" s="2" t="n">
        <v>0</v>
      </c>
      <c r="AF18" s="2" t="n">
        <v>0</v>
      </c>
      <c r="AG18" s="2" t="n">
        <v>0</v>
      </c>
      <c r="AH18" s="2" t="n">
        <v>0</v>
      </c>
      <c r="AI18" s="2" t="n">
        <v>0</v>
      </c>
      <c r="AJ18" s="2" t="n">
        <v>0</v>
      </c>
      <c r="AK18" s="2" t="n">
        <v>0</v>
      </c>
      <c r="AL18" s="2" t="n">
        <v>0</v>
      </c>
      <c r="AM18" s="2" t="n">
        <v>0</v>
      </c>
      <c r="AN18" s="2" t="n">
        <v>0</v>
      </c>
      <c r="AO18" s="2" t="n">
        <v>2</v>
      </c>
      <c r="AP18" s="2" t="n">
        <v>0</v>
      </c>
      <c r="AQ18" s="2" t="n">
        <v>0</v>
      </c>
      <c r="AR18" s="2" t="n">
        <v>0</v>
      </c>
      <c r="AS18" s="2" t="n">
        <v>5</v>
      </c>
      <c r="AT18" s="2" t="n">
        <v>0</v>
      </c>
      <c r="AU18" s="2" t="n">
        <v>0</v>
      </c>
      <c r="AV18" s="2" t="n">
        <v>0</v>
      </c>
      <c r="AW18" s="2" t="n">
        <v>0</v>
      </c>
      <c r="AX18" s="2" t="n">
        <v>5</v>
      </c>
      <c r="AY18" s="2" t="n">
        <v>0</v>
      </c>
      <c r="AZ18" s="2" t="n">
        <v>0</v>
      </c>
      <c r="BA18" s="2" t="n">
        <v>0</v>
      </c>
      <c r="BB18" s="2" t="n">
        <v>0</v>
      </c>
      <c r="BC18" s="2" t="n">
        <v>0</v>
      </c>
      <c r="BD18" s="2" t="n">
        <v>0</v>
      </c>
      <c r="BE18" s="2" t="n">
        <v>0</v>
      </c>
      <c r="BF18" s="2" t="n">
        <v>0</v>
      </c>
      <c r="BG18" s="2" t="n">
        <v>0</v>
      </c>
      <c r="BH18" s="2" t="n">
        <v>0</v>
      </c>
      <c r="BI18" s="2" t="n">
        <v>0</v>
      </c>
      <c r="BJ18" s="2" t="n">
        <v>0</v>
      </c>
      <c r="BK18" s="2" t="n">
        <v>0</v>
      </c>
      <c r="BL18" s="2" t="n">
        <v>4</v>
      </c>
      <c r="BM18" s="2" t="n">
        <v>0</v>
      </c>
      <c r="BN18" s="2" t="n">
        <v>0</v>
      </c>
      <c r="BO18" s="2" t="n">
        <v>0</v>
      </c>
      <c r="BP18" s="2" t="n">
        <v>0</v>
      </c>
      <c r="BQ18" s="2" t="n">
        <v>0</v>
      </c>
      <c r="BR18" s="2" t="n">
        <v>0</v>
      </c>
      <c r="BS18" s="2" t="n">
        <v>0</v>
      </c>
      <c r="BT18" s="2" t="n">
        <v>0</v>
      </c>
      <c r="BU18" s="2" t="n">
        <v>0</v>
      </c>
      <c r="BV18" s="2" t="n">
        <v>0</v>
      </c>
      <c r="BW18" s="2" t="n">
        <v>0</v>
      </c>
      <c r="BX18" s="2" t="n">
        <v>0</v>
      </c>
      <c r="BY18" s="2" t="n">
        <v>0</v>
      </c>
      <c r="BZ18" s="2" t="n">
        <v>0</v>
      </c>
      <c r="CA18" s="2" t="n">
        <v>0</v>
      </c>
      <c r="CB18" s="2" t="n">
        <v>0</v>
      </c>
      <c r="CC18" s="2" t="n">
        <v>0</v>
      </c>
      <c r="CD18" s="2" t="n">
        <v>1</v>
      </c>
      <c r="CE18" s="2" t="n">
        <v>0</v>
      </c>
      <c r="CF18" s="2" t="n">
        <v>0</v>
      </c>
      <c r="CG18" s="2" t="n">
        <v>0</v>
      </c>
      <c r="CH18" s="2" t="n">
        <v>0</v>
      </c>
      <c r="CI18" s="2" t="n">
        <v>0</v>
      </c>
      <c r="CJ18" s="2" t="n">
        <v>0</v>
      </c>
      <c r="CK18" s="2" t="n">
        <v>0</v>
      </c>
      <c r="CL18" s="2" t="n">
        <v>1</v>
      </c>
      <c r="CM18" s="2" t="n">
        <v>0</v>
      </c>
      <c r="CN18" s="2" t="n">
        <v>0</v>
      </c>
      <c r="CO18" s="2" t="n">
        <v>0</v>
      </c>
      <c r="CP18" s="2" t="n">
        <v>0</v>
      </c>
      <c r="CQ18" s="2" t="n">
        <v>24</v>
      </c>
      <c r="CR18" s="2" t="n">
        <v>0</v>
      </c>
      <c r="CS18" s="2" t="n">
        <v>0</v>
      </c>
      <c r="CT18" s="2" t="n">
        <v>0</v>
      </c>
      <c r="CU18" s="2" t="n">
        <v>0</v>
      </c>
      <c r="CV18" s="2" t="n">
        <v>0</v>
      </c>
      <c r="CW18" s="2" t="n">
        <v>0</v>
      </c>
      <c r="CX18" s="2" t="n">
        <v>0</v>
      </c>
      <c r="CY18" s="2" t="n">
        <v>84</v>
      </c>
      <c r="CZ18" s="2" t="n">
        <v>0</v>
      </c>
      <c r="DA18" s="2" t="n">
        <v>0</v>
      </c>
      <c r="DB18" s="2" t="n">
        <v>1</v>
      </c>
      <c r="DC18" s="2" t="n">
        <v>0</v>
      </c>
      <c r="DD18" s="2" t="n">
        <v>1</v>
      </c>
      <c r="DE18" s="2" t="n">
        <v>0</v>
      </c>
      <c r="DF18" s="2" t="n">
        <v>0</v>
      </c>
      <c r="DG18" s="2" t="n">
        <v>0</v>
      </c>
      <c r="DH18" s="2" t="n">
        <v>0</v>
      </c>
      <c r="DI18" s="2" t="n">
        <v>26</v>
      </c>
      <c r="DJ18" s="2" t="n">
        <v>0</v>
      </c>
      <c r="DK18" s="2" t="n">
        <v>0</v>
      </c>
      <c r="DL18" s="2" t="n">
        <v>0</v>
      </c>
      <c r="DM18" s="2" t="n">
        <v>0</v>
      </c>
      <c r="DN18" s="2" t="n">
        <v>0</v>
      </c>
      <c r="DO18" s="2" t="n">
        <v>0</v>
      </c>
      <c r="DP18" s="2" t="n">
        <v>0</v>
      </c>
      <c r="DQ18" s="2" t="n">
        <v>0</v>
      </c>
      <c r="DR18" s="2" t="n">
        <v>0</v>
      </c>
      <c r="DS18" s="2" t="n">
        <v>0</v>
      </c>
      <c r="DT18" s="2" t="n">
        <v>0</v>
      </c>
      <c r="DU18" s="2" t="n">
        <v>0</v>
      </c>
      <c r="DV18" s="2" t="n">
        <v>0</v>
      </c>
      <c r="DW18" s="2" t="n">
        <v>19</v>
      </c>
      <c r="DX18" s="2" t="n">
        <v>0</v>
      </c>
      <c r="DY18" s="2" t="n">
        <v>0</v>
      </c>
      <c r="DZ18" s="2" t="n">
        <v>0</v>
      </c>
      <c r="EA18" s="2" t="n">
        <v>0</v>
      </c>
      <c r="EB18" s="2" t="n">
        <v>0</v>
      </c>
      <c r="EC18" s="2" t="n">
        <v>2</v>
      </c>
      <c r="ED18" s="2" t="n">
        <v>0</v>
      </c>
      <c r="EE18" s="2" t="n">
        <v>0</v>
      </c>
      <c r="EF18" s="2" t="n">
        <v>1</v>
      </c>
      <c r="EG18" s="2" t="n">
        <v>0</v>
      </c>
      <c r="EH18" s="2" t="n">
        <v>0</v>
      </c>
      <c r="EI18" s="2" t="n">
        <v>0</v>
      </c>
      <c r="EJ18" s="2" t="n">
        <v>0</v>
      </c>
      <c r="EK18" s="2" t="n">
        <v>0</v>
      </c>
      <c r="EL18" s="2" t="n">
        <v>3</v>
      </c>
      <c r="EM18" s="2" t="n">
        <v>0</v>
      </c>
      <c r="EN18" s="2" t="n">
        <v>0</v>
      </c>
      <c r="EO18" s="2" t="n">
        <v>0</v>
      </c>
      <c r="EP18" s="2" t="n">
        <v>0</v>
      </c>
      <c r="EQ18" s="2" t="n">
        <v>0</v>
      </c>
      <c r="ER18" s="2" t="n">
        <v>0</v>
      </c>
      <c r="ES18" s="2" t="n">
        <v>1</v>
      </c>
      <c r="ET18" s="2" t="n">
        <v>0</v>
      </c>
      <c r="EU18" s="2" t="n">
        <v>0</v>
      </c>
    </row>
    <row r="19" customFormat="false" ht="15" hidden="false" customHeight="false" outlineLevel="0" collapsed="false">
      <c r="A19" s="2" t="s">
        <v>97</v>
      </c>
      <c r="B19" s="2" t="s">
        <v>95</v>
      </c>
      <c r="C19" s="2" t="n">
        <v>1</v>
      </c>
      <c r="D19" s="2" t="n">
        <v>0</v>
      </c>
      <c r="E19" s="2" t="n">
        <v>0</v>
      </c>
      <c r="F19" s="2" t="n">
        <v>0</v>
      </c>
      <c r="G19" s="2" t="n">
        <v>0</v>
      </c>
      <c r="H19" s="2" t="n">
        <v>0</v>
      </c>
      <c r="I19" s="2" t="n">
        <v>0</v>
      </c>
      <c r="J19" s="2" t="n">
        <v>0</v>
      </c>
      <c r="K19" s="2" t="n">
        <v>0</v>
      </c>
      <c r="L19" s="2" t="n">
        <v>0</v>
      </c>
      <c r="M19" s="2" t="n">
        <v>29</v>
      </c>
      <c r="N19" s="2" t="n">
        <v>0</v>
      </c>
      <c r="O19" s="2" t="n">
        <v>0</v>
      </c>
      <c r="P19" s="2" t="n">
        <v>1</v>
      </c>
      <c r="Q19" s="2" t="n">
        <v>1</v>
      </c>
      <c r="R19" s="2" t="n">
        <v>0</v>
      </c>
      <c r="S19" s="2" t="n">
        <v>0</v>
      </c>
      <c r="T19" s="2" t="n">
        <v>0</v>
      </c>
      <c r="U19" s="2" t="n">
        <v>0</v>
      </c>
      <c r="V19" s="2" t="n">
        <v>0</v>
      </c>
      <c r="W19" s="2" t="n">
        <v>12</v>
      </c>
      <c r="X19" s="2" t="n">
        <v>0</v>
      </c>
      <c r="Y19" s="2" t="n">
        <v>0</v>
      </c>
      <c r="Z19" s="2" t="n">
        <v>0</v>
      </c>
      <c r="AA19" s="2" t="n">
        <v>0</v>
      </c>
      <c r="AB19" s="2" t="n">
        <v>0</v>
      </c>
      <c r="AC19" s="2" t="n">
        <v>0</v>
      </c>
      <c r="AD19" s="2" t="n">
        <v>0</v>
      </c>
      <c r="AE19" s="2" t="n">
        <v>0</v>
      </c>
      <c r="AF19" s="2" t="n">
        <v>0</v>
      </c>
      <c r="AG19" s="2" t="n">
        <v>0</v>
      </c>
      <c r="AH19" s="2" t="n">
        <v>0</v>
      </c>
      <c r="AI19" s="2" t="n">
        <v>0</v>
      </c>
      <c r="AJ19" s="2" t="n">
        <v>0</v>
      </c>
      <c r="AK19" s="2" t="n">
        <v>0</v>
      </c>
      <c r="AL19" s="2" t="n">
        <v>0</v>
      </c>
      <c r="AM19" s="2" t="n">
        <v>0</v>
      </c>
      <c r="AN19" s="2" t="n">
        <v>0</v>
      </c>
      <c r="AO19" s="2" t="n">
        <v>0</v>
      </c>
      <c r="AP19" s="2" t="n">
        <v>21</v>
      </c>
      <c r="AQ19" s="2" t="n">
        <v>0</v>
      </c>
      <c r="AR19" s="2" t="n">
        <v>0</v>
      </c>
      <c r="AS19" s="2" t="n">
        <v>8</v>
      </c>
      <c r="AT19" s="2" t="n">
        <v>0</v>
      </c>
      <c r="AU19" s="2" t="n">
        <v>0</v>
      </c>
      <c r="AV19" s="2" t="n">
        <v>1</v>
      </c>
      <c r="AW19" s="2" t="n">
        <v>0</v>
      </c>
      <c r="AX19" s="2" t="n">
        <v>0</v>
      </c>
      <c r="AY19" s="2" t="n">
        <v>0</v>
      </c>
      <c r="AZ19" s="2" t="n">
        <v>44</v>
      </c>
      <c r="BA19" s="2" t="n">
        <v>44</v>
      </c>
      <c r="BB19" s="2" t="n">
        <v>0</v>
      </c>
      <c r="BC19" s="2" t="n">
        <v>7</v>
      </c>
      <c r="BD19" s="2" t="n">
        <v>7</v>
      </c>
      <c r="BE19" s="2" t="n">
        <v>0</v>
      </c>
      <c r="BF19" s="2" t="n">
        <v>0</v>
      </c>
      <c r="BG19" s="2" t="n">
        <v>0</v>
      </c>
      <c r="BH19" s="2" t="n">
        <v>1</v>
      </c>
      <c r="BI19" s="2" t="n">
        <v>0</v>
      </c>
      <c r="BJ19" s="2" t="n">
        <v>0</v>
      </c>
      <c r="BK19" s="2" t="n">
        <v>0</v>
      </c>
      <c r="BL19" s="2" t="n">
        <v>0</v>
      </c>
      <c r="BM19" s="2" t="n">
        <v>0</v>
      </c>
      <c r="BN19" s="2" t="n">
        <v>0</v>
      </c>
      <c r="BO19" s="2" t="n">
        <v>0</v>
      </c>
      <c r="BP19" s="2" t="n">
        <v>0</v>
      </c>
      <c r="BQ19" s="2" t="n">
        <v>0</v>
      </c>
      <c r="BR19" s="2" t="n">
        <v>0</v>
      </c>
      <c r="BS19" s="2" t="n">
        <v>0</v>
      </c>
      <c r="BT19" s="2" t="n">
        <v>20</v>
      </c>
      <c r="BU19" s="2" t="n">
        <v>17</v>
      </c>
      <c r="BV19" s="2" t="n">
        <v>0</v>
      </c>
      <c r="BW19" s="2" t="n">
        <v>2</v>
      </c>
      <c r="BX19" s="2" t="n">
        <v>0</v>
      </c>
      <c r="BY19" s="2" t="n">
        <v>0</v>
      </c>
      <c r="BZ19" s="2" t="n">
        <v>0</v>
      </c>
      <c r="CA19" s="2" t="n">
        <v>0</v>
      </c>
      <c r="CB19" s="2" t="n">
        <v>1</v>
      </c>
      <c r="CC19" s="2" t="n">
        <v>0</v>
      </c>
      <c r="CD19" s="2" t="n">
        <v>0</v>
      </c>
      <c r="CE19" s="2" t="n">
        <v>0</v>
      </c>
      <c r="CF19" s="2" t="n">
        <v>1</v>
      </c>
      <c r="CG19" s="2" t="n">
        <v>0</v>
      </c>
      <c r="CH19" s="2" t="n">
        <v>0</v>
      </c>
      <c r="CI19" s="2" t="n">
        <v>0</v>
      </c>
      <c r="CJ19" s="2" t="n">
        <v>0</v>
      </c>
      <c r="CK19" s="2" t="n">
        <v>8</v>
      </c>
      <c r="CL19" s="2" t="n">
        <v>6</v>
      </c>
      <c r="CM19" s="2" t="n">
        <v>0</v>
      </c>
      <c r="CN19" s="2" t="n">
        <v>0</v>
      </c>
      <c r="CO19" s="2" t="n">
        <v>1</v>
      </c>
      <c r="CP19" s="2" t="n">
        <v>0</v>
      </c>
      <c r="CQ19" s="2" t="n">
        <v>0</v>
      </c>
      <c r="CR19" s="2" t="n">
        <v>0</v>
      </c>
      <c r="CS19" s="2" t="n">
        <v>0</v>
      </c>
      <c r="CT19" s="2" t="n">
        <v>0</v>
      </c>
      <c r="CU19" s="2" t="n">
        <v>0</v>
      </c>
      <c r="CV19" s="2" t="n">
        <v>0</v>
      </c>
      <c r="CW19" s="2" t="n">
        <v>1</v>
      </c>
      <c r="CX19" s="2" t="n">
        <v>0</v>
      </c>
      <c r="CY19" s="2" t="n">
        <v>2</v>
      </c>
      <c r="CZ19" s="2" t="n">
        <v>0</v>
      </c>
      <c r="DA19" s="2" t="n">
        <v>0</v>
      </c>
      <c r="DB19" s="2" t="n">
        <v>0</v>
      </c>
      <c r="DC19" s="2" t="n">
        <v>0</v>
      </c>
      <c r="DD19" s="2" t="n">
        <v>0</v>
      </c>
      <c r="DE19" s="2" t="n">
        <v>0</v>
      </c>
      <c r="DF19" s="2" t="n">
        <v>0</v>
      </c>
      <c r="DG19" s="2" t="n">
        <v>0</v>
      </c>
      <c r="DH19" s="2" t="n">
        <v>18</v>
      </c>
      <c r="DI19" s="2" t="n">
        <v>0</v>
      </c>
      <c r="DJ19" s="2" t="n">
        <v>0</v>
      </c>
      <c r="DK19" s="2" t="n">
        <v>0</v>
      </c>
      <c r="DL19" s="2" t="n">
        <v>0</v>
      </c>
      <c r="DM19" s="2" t="n">
        <v>0</v>
      </c>
      <c r="DN19" s="2" t="n">
        <v>0</v>
      </c>
      <c r="DO19" s="2" t="n">
        <v>0</v>
      </c>
      <c r="DP19" s="2" t="n">
        <v>0</v>
      </c>
      <c r="DQ19" s="2" t="n">
        <v>0</v>
      </c>
      <c r="DR19" s="2" t="n">
        <v>0</v>
      </c>
      <c r="DS19" s="2" t="n">
        <v>0</v>
      </c>
      <c r="DT19" s="2" t="n">
        <v>0</v>
      </c>
      <c r="DU19" s="2" t="n">
        <v>0</v>
      </c>
      <c r="DV19" s="2" t="n">
        <v>5</v>
      </c>
      <c r="DW19" s="2" t="n">
        <v>6</v>
      </c>
      <c r="DX19" s="2" t="n">
        <v>0</v>
      </c>
      <c r="DY19" s="2" t="n">
        <v>0</v>
      </c>
      <c r="DZ19" s="2" t="n">
        <v>0</v>
      </c>
      <c r="EA19" s="2" t="n">
        <v>0</v>
      </c>
      <c r="EB19" s="2" t="n">
        <v>0</v>
      </c>
      <c r="EC19" s="2" t="n">
        <v>0</v>
      </c>
      <c r="ED19" s="2" t="n">
        <v>0</v>
      </c>
      <c r="EE19" s="2" t="n">
        <v>0</v>
      </c>
      <c r="EF19" s="2" t="n">
        <v>0</v>
      </c>
      <c r="EG19" s="2" t="n">
        <v>4</v>
      </c>
      <c r="EH19" s="2" t="n">
        <v>0</v>
      </c>
      <c r="EI19" s="2" t="n">
        <v>0</v>
      </c>
      <c r="EJ19" s="2" t="n">
        <v>0</v>
      </c>
      <c r="EK19" s="2" t="n">
        <v>0</v>
      </c>
      <c r="EL19" s="2" t="n">
        <v>1</v>
      </c>
      <c r="EM19" s="2" t="n">
        <v>0</v>
      </c>
      <c r="EN19" s="2" t="n">
        <v>0</v>
      </c>
      <c r="EO19" s="2" t="n">
        <v>0</v>
      </c>
      <c r="EP19" s="2" t="n">
        <v>0</v>
      </c>
      <c r="EQ19" s="2" t="n">
        <v>0</v>
      </c>
      <c r="ER19" s="2" t="n">
        <v>0</v>
      </c>
      <c r="ES19" s="2" t="n">
        <v>2</v>
      </c>
      <c r="ET19" s="2" t="n">
        <v>0</v>
      </c>
      <c r="EU19" s="2" t="n">
        <v>0</v>
      </c>
    </row>
    <row r="20" customFormat="false" ht="15" hidden="false" customHeight="false" outlineLevel="0" collapsed="false">
      <c r="A20" s="2" t="s">
        <v>98</v>
      </c>
      <c r="B20" s="2" t="s">
        <v>95</v>
      </c>
      <c r="C20" s="2" t="n">
        <v>0</v>
      </c>
      <c r="D20" s="2" t="n">
        <v>0</v>
      </c>
      <c r="E20" s="2" t="n">
        <v>0</v>
      </c>
      <c r="F20" s="2" t="n">
        <v>0</v>
      </c>
      <c r="G20" s="2" t="n">
        <v>0</v>
      </c>
      <c r="H20" s="2" t="n">
        <v>0</v>
      </c>
      <c r="I20" s="2" t="n">
        <v>0</v>
      </c>
      <c r="J20" s="2" t="n">
        <v>0</v>
      </c>
      <c r="K20" s="2" t="n">
        <v>0</v>
      </c>
      <c r="L20" s="2" t="n">
        <v>5</v>
      </c>
      <c r="M20" s="2" t="n">
        <v>1</v>
      </c>
      <c r="N20" s="2" t="n">
        <v>0</v>
      </c>
      <c r="O20" s="2" t="n">
        <v>0</v>
      </c>
      <c r="P20" s="2" t="n">
        <v>2</v>
      </c>
      <c r="Q20" s="2" t="n">
        <v>0</v>
      </c>
      <c r="R20" s="2" t="n">
        <v>0</v>
      </c>
      <c r="S20" s="2" t="n">
        <v>0</v>
      </c>
      <c r="T20" s="2" t="n">
        <v>0</v>
      </c>
      <c r="U20" s="2" t="n">
        <v>0</v>
      </c>
      <c r="V20" s="2" t="n">
        <v>0</v>
      </c>
      <c r="W20" s="2" t="n">
        <v>0</v>
      </c>
      <c r="X20" s="2" t="n">
        <v>0</v>
      </c>
      <c r="Y20" s="2" t="n">
        <v>0</v>
      </c>
      <c r="Z20" s="2" t="n">
        <v>0</v>
      </c>
      <c r="AA20" s="2" t="n">
        <v>0</v>
      </c>
      <c r="AB20" s="2" t="n">
        <v>0</v>
      </c>
      <c r="AC20" s="2" t="n">
        <v>0</v>
      </c>
      <c r="AD20" s="2" t="n">
        <v>0</v>
      </c>
      <c r="AE20" s="2" t="n">
        <v>0</v>
      </c>
      <c r="AF20" s="2" t="n">
        <v>0</v>
      </c>
      <c r="AG20" s="2" t="n">
        <v>0</v>
      </c>
      <c r="AH20" s="2" t="n">
        <v>0</v>
      </c>
      <c r="AI20" s="2" t="n">
        <v>1</v>
      </c>
      <c r="AJ20" s="2" t="n">
        <v>0</v>
      </c>
      <c r="AK20" s="2" t="n">
        <v>0</v>
      </c>
      <c r="AL20" s="2" t="n">
        <v>0</v>
      </c>
      <c r="AM20" s="2" t="n">
        <v>0</v>
      </c>
      <c r="AN20" s="2" t="n">
        <v>0</v>
      </c>
      <c r="AO20" s="2" t="n">
        <v>0</v>
      </c>
      <c r="AP20" s="2" t="n">
        <v>0</v>
      </c>
      <c r="AQ20" s="2" t="n">
        <v>0</v>
      </c>
      <c r="AR20" s="2" t="n">
        <v>0</v>
      </c>
      <c r="AS20" s="2" t="n">
        <v>0</v>
      </c>
      <c r="AT20" s="2" t="n">
        <v>0</v>
      </c>
      <c r="AU20" s="2" t="n">
        <v>0</v>
      </c>
      <c r="AV20" s="2" t="n">
        <v>0</v>
      </c>
      <c r="AW20" s="2" t="n">
        <v>0</v>
      </c>
      <c r="AX20" s="2" t="n">
        <v>0</v>
      </c>
      <c r="AY20" s="2" t="n">
        <v>0</v>
      </c>
      <c r="AZ20" s="2" t="n">
        <v>0</v>
      </c>
      <c r="BA20" s="2" t="n">
        <v>0</v>
      </c>
      <c r="BB20" s="2" t="n">
        <v>0</v>
      </c>
      <c r="BC20" s="2" t="n">
        <v>0</v>
      </c>
      <c r="BD20" s="2" t="n">
        <v>0</v>
      </c>
      <c r="BE20" s="2" t="n">
        <v>0</v>
      </c>
      <c r="BF20" s="2" t="n">
        <v>0</v>
      </c>
      <c r="BG20" s="2" t="n">
        <v>1</v>
      </c>
      <c r="BH20" s="2" t="n">
        <v>0</v>
      </c>
      <c r="BI20" s="2" t="n">
        <v>0</v>
      </c>
      <c r="BJ20" s="2" t="n">
        <v>0</v>
      </c>
      <c r="BK20" s="2" t="n">
        <v>0</v>
      </c>
      <c r="BL20" s="2" t="n">
        <v>0</v>
      </c>
      <c r="BM20" s="2" t="n">
        <v>0</v>
      </c>
      <c r="BN20" s="2" t="n">
        <v>0</v>
      </c>
      <c r="BO20" s="2" t="n">
        <v>0</v>
      </c>
      <c r="BP20" s="2" t="n">
        <v>0</v>
      </c>
      <c r="BQ20" s="2" t="n">
        <v>0</v>
      </c>
      <c r="BR20" s="2" t="n">
        <v>0</v>
      </c>
      <c r="BS20" s="2" t="n">
        <v>0</v>
      </c>
      <c r="BT20" s="2" t="n">
        <v>2</v>
      </c>
      <c r="BU20" s="2" t="n">
        <v>0</v>
      </c>
      <c r="BV20" s="2" t="n">
        <v>0</v>
      </c>
      <c r="BW20" s="2" t="n">
        <v>0</v>
      </c>
      <c r="BX20" s="2" t="n">
        <v>0</v>
      </c>
      <c r="BY20" s="2" t="n">
        <v>0</v>
      </c>
      <c r="BZ20" s="2" t="n">
        <v>0</v>
      </c>
      <c r="CA20" s="2" t="n">
        <v>0</v>
      </c>
      <c r="CB20" s="2" t="n">
        <v>0</v>
      </c>
      <c r="CC20" s="2" t="n">
        <v>0</v>
      </c>
      <c r="CD20" s="2" t="n">
        <v>0</v>
      </c>
      <c r="CE20" s="2" t="n">
        <v>0</v>
      </c>
      <c r="CF20" s="2" t="n">
        <v>0</v>
      </c>
      <c r="CG20" s="2" t="n">
        <v>0</v>
      </c>
      <c r="CH20" s="2" t="n">
        <v>0</v>
      </c>
      <c r="CI20" s="2" t="n">
        <v>0</v>
      </c>
      <c r="CJ20" s="2" t="n">
        <v>0</v>
      </c>
      <c r="CK20" s="2" t="n">
        <v>0</v>
      </c>
      <c r="CL20" s="2" t="n">
        <v>0</v>
      </c>
      <c r="CM20" s="2" t="n">
        <v>0</v>
      </c>
      <c r="CN20" s="2" t="n">
        <v>0</v>
      </c>
      <c r="CO20" s="2" t="n">
        <v>0</v>
      </c>
      <c r="CP20" s="2" t="n">
        <v>0</v>
      </c>
      <c r="CQ20" s="2" t="n">
        <v>0</v>
      </c>
      <c r="CR20" s="2" t="n">
        <v>0</v>
      </c>
      <c r="CS20" s="2" t="n">
        <v>0</v>
      </c>
      <c r="CT20" s="2" t="n">
        <v>0</v>
      </c>
      <c r="CU20" s="2" t="n">
        <v>0</v>
      </c>
      <c r="CV20" s="2" t="n">
        <v>0</v>
      </c>
      <c r="CW20" s="2" t="n">
        <v>0</v>
      </c>
      <c r="CX20" s="2" t="n">
        <v>0</v>
      </c>
      <c r="CY20" s="2" t="n">
        <v>0</v>
      </c>
      <c r="CZ20" s="2" t="n">
        <v>1</v>
      </c>
      <c r="DA20" s="2" t="n">
        <v>0</v>
      </c>
      <c r="DB20" s="2" t="n">
        <v>0</v>
      </c>
      <c r="DC20" s="2" t="n">
        <v>0</v>
      </c>
      <c r="DD20" s="2" t="n">
        <v>0</v>
      </c>
      <c r="DE20" s="2" t="n">
        <v>0</v>
      </c>
      <c r="DF20" s="2" t="n">
        <v>0</v>
      </c>
      <c r="DG20" s="2" t="n">
        <v>0</v>
      </c>
      <c r="DH20" s="2" t="n">
        <v>0</v>
      </c>
      <c r="DI20" s="2" t="n">
        <v>5</v>
      </c>
      <c r="DJ20" s="2" t="n">
        <v>0</v>
      </c>
      <c r="DK20" s="2" t="n">
        <v>0</v>
      </c>
      <c r="DL20" s="2" t="n">
        <v>0</v>
      </c>
      <c r="DM20" s="2" t="n">
        <v>0</v>
      </c>
      <c r="DN20" s="2" t="n">
        <v>0</v>
      </c>
      <c r="DO20" s="2" t="n">
        <v>0</v>
      </c>
      <c r="DP20" s="2" t="n">
        <v>0</v>
      </c>
      <c r="DQ20" s="2" t="n">
        <v>0</v>
      </c>
      <c r="DR20" s="2" t="n">
        <v>0</v>
      </c>
      <c r="DS20" s="2" t="n">
        <v>0</v>
      </c>
      <c r="DT20" s="2" t="n">
        <v>0</v>
      </c>
      <c r="DU20" s="2" t="n">
        <v>0</v>
      </c>
      <c r="DV20" s="2" t="n">
        <v>0</v>
      </c>
      <c r="DW20" s="2" t="n">
        <v>0</v>
      </c>
      <c r="DX20" s="2" t="n">
        <v>0</v>
      </c>
      <c r="DY20" s="2" t="n">
        <v>0</v>
      </c>
      <c r="DZ20" s="2" t="n">
        <v>0</v>
      </c>
      <c r="EA20" s="2" t="n">
        <v>0</v>
      </c>
      <c r="EB20" s="2" t="n">
        <v>0</v>
      </c>
      <c r="EC20" s="2" t="n">
        <v>0</v>
      </c>
      <c r="ED20" s="2" t="n">
        <v>0</v>
      </c>
      <c r="EE20" s="2" t="n">
        <v>0</v>
      </c>
      <c r="EF20" s="2" t="n">
        <v>0</v>
      </c>
      <c r="EG20" s="2" t="n">
        <v>0</v>
      </c>
      <c r="EH20" s="2" t="n">
        <v>0</v>
      </c>
      <c r="EI20" s="2" t="n">
        <v>0</v>
      </c>
      <c r="EJ20" s="2" t="n">
        <v>0</v>
      </c>
      <c r="EK20" s="2" t="n">
        <v>0</v>
      </c>
      <c r="EL20" s="2" t="n">
        <v>0</v>
      </c>
      <c r="EM20" s="2" t="n">
        <v>0</v>
      </c>
      <c r="EN20" s="2" t="n">
        <v>0</v>
      </c>
      <c r="EO20" s="2" t="n">
        <v>0</v>
      </c>
      <c r="EP20" s="2" t="n">
        <v>0</v>
      </c>
      <c r="EQ20" s="2" t="n">
        <v>0</v>
      </c>
      <c r="ER20" s="2" t="n">
        <v>0</v>
      </c>
      <c r="ES20" s="2" t="n">
        <v>0</v>
      </c>
      <c r="ET20" s="2" t="n">
        <v>0</v>
      </c>
      <c r="EU20" s="2" t="n">
        <v>0</v>
      </c>
    </row>
    <row r="21" customFormat="false" ht="15" hidden="false" customHeight="false" outlineLevel="0" collapsed="false">
      <c r="A21" s="2" t="s">
        <v>99</v>
      </c>
      <c r="B21" s="2" t="s">
        <v>95</v>
      </c>
      <c r="C21" s="2" t="n">
        <v>0</v>
      </c>
      <c r="D21" s="2" t="n">
        <v>0</v>
      </c>
      <c r="E21" s="2" t="n">
        <v>1</v>
      </c>
      <c r="F21" s="2" t="n">
        <v>0</v>
      </c>
      <c r="G21" s="2" t="n">
        <v>0</v>
      </c>
      <c r="H21" s="2" t="n">
        <v>0</v>
      </c>
      <c r="I21" s="2" t="n">
        <v>0</v>
      </c>
      <c r="J21" s="2" t="n">
        <v>0</v>
      </c>
      <c r="K21" s="2" t="n">
        <v>0</v>
      </c>
      <c r="L21" s="2" t="n">
        <v>0</v>
      </c>
      <c r="M21" s="2" t="n">
        <v>0</v>
      </c>
      <c r="N21" s="2" t="n">
        <v>0</v>
      </c>
      <c r="O21" s="2" t="n">
        <v>0</v>
      </c>
      <c r="P21" s="2" t="n">
        <v>0</v>
      </c>
      <c r="Q21" s="2" t="n">
        <v>0</v>
      </c>
      <c r="R21" s="2" t="n">
        <v>0</v>
      </c>
      <c r="S21" s="2" t="n">
        <v>0</v>
      </c>
      <c r="T21" s="2" t="n">
        <v>0</v>
      </c>
      <c r="U21" s="2" t="n">
        <v>0</v>
      </c>
      <c r="V21" s="2" t="n">
        <v>0</v>
      </c>
      <c r="W21" s="2" t="n">
        <v>0</v>
      </c>
      <c r="X21" s="2" t="n">
        <v>0</v>
      </c>
      <c r="Y21" s="2" t="n">
        <v>0</v>
      </c>
      <c r="Z21" s="2" t="n">
        <v>0</v>
      </c>
      <c r="AA21" s="2" t="n">
        <v>0</v>
      </c>
      <c r="AB21" s="2" t="n">
        <v>0</v>
      </c>
      <c r="AC21" s="2" t="n">
        <v>0</v>
      </c>
      <c r="AD21" s="2" t="n">
        <v>0</v>
      </c>
      <c r="AE21" s="2" t="n">
        <v>0</v>
      </c>
      <c r="AF21" s="2" t="n">
        <v>0</v>
      </c>
      <c r="AG21" s="2" t="n">
        <v>13</v>
      </c>
      <c r="AH21" s="2" t="n">
        <v>0</v>
      </c>
      <c r="AI21" s="2" t="n">
        <v>0</v>
      </c>
      <c r="AJ21" s="2" t="n">
        <v>0</v>
      </c>
      <c r="AK21" s="2" t="n">
        <v>0</v>
      </c>
      <c r="AL21" s="2" t="n">
        <v>4</v>
      </c>
      <c r="AM21" s="2" t="n">
        <v>0</v>
      </c>
      <c r="AN21" s="2" t="n">
        <v>0</v>
      </c>
      <c r="AO21" s="2" t="n">
        <v>0</v>
      </c>
      <c r="AP21" s="2" t="n">
        <v>0</v>
      </c>
      <c r="AQ21" s="2" t="n">
        <v>0</v>
      </c>
      <c r="AR21" s="2" t="n">
        <v>0</v>
      </c>
      <c r="AS21" s="2" t="n">
        <v>0</v>
      </c>
      <c r="AT21" s="2" t="n">
        <v>0</v>
      </c>
      <c r="AU21" s="2" t="n">
        <v>0</v>
      </c>
      <c r="AV21" s="2" t="n">
        <v>0</v>
      </c>
      <c r="AW21" s="2" t="n">
        <v>0</v>
      </c>
      <c r="AX21" s="2" t="n">
        <v>0</v>
      </c>
      <c r="AY21" s="2" t="n">
        <v>0</v>
      </c>
      <c r="AZ21" s="2" t="n">
        <v>0</v>
      </c>
      <c r="BA21" s="2" t="n">
        <v>0</v>
      </c>
      <c r="BB21" s="2" t="n">
        <v>0</v>
      </c>
      <c r="BC21" s="2" t="n">
        <v>0</v>
      </c>
      <c r="BD21" s="2" t="n">
        <v>0</v>
      </c>
      <c r="BE21" s="2" t="n">
        <v>0</v>
      </c>
      <c r="BF21" s="2" t="n">
        <v>0</v>
      </c>
      <c r="BG21" s="2" t="n">
        <v>0</v>
      </c>
      <c r="BH21" s="2" t="n">
        <v>0</v>
      </c>
      <c r="BI21" s="2" t="n">
        <v>0</v>
      </c>
      <c r="BJ21" s="2" t="n">
        <v>0</v>
      </c>
      <c r="BK21" s="2" t="n">
        <v>0</v>
      </c>
      <c r="BL21" s="2" t="n">
        <v>0</v>
      </c>
      <c r="BM21" s="2" t="n">
        <v>0</v>
      </c>
      <c r="BN21" s="2" t="n">
        <v>0</v>
      </c>
      <c r="BO21" s="2" t="n">
        <v>0</v>
      </c>
      <c r="BP21" s="2" t="n">
        <v>0</v>
      </c>
      <c r="BQ21" s="2" t="n">
        <v>0</v>
      </c>
      <c r="BR21" s="2" t="n">
        <v>0</v>
      </c>
      <c r="BS21" s="2" t="n">
        <v>0</v>
      </c>
      <c r="BT21" s="2" t="n">
        <v>0</v>
      </c>
      <c r="BU21" s="2" t="n">
        <v>0</v>
      </c>
      <c r="BV21" s="2" t="n">
        <v>0</v>
      </c>
      <c r="BW21" s="2" t="n">
        <v>0</v>
      </c>
      <c r="BX21" s="2" t="n">
        <v>0</v>
      </c>
      <c r="BY21" s="2" t="n">
        <v>0</v>
      </c>
      <c r="BZ21" s="2" t="n">
        <v>0</v>
      </c>
      <c r="CA21" s="2" t="n">
        <v>0</v>
      </c>
      <c r="CB21" s="2" t="n">
        <v>0</v>
      </c>
      <c r="CC21" s="2" t="n">
        <v>0</v>
      </c>
      <c r="CD21" s="2" t="n">
        <v>0</v>
      </c>
      <c r="CE21" s="2" t="n">
        <v>1</v>
      </c>
      <c r="CF21" s="2" t="n">
        <v>0</v>
      </c>
      <c r="CG21" s="2" t="n">
        <v>0</v>
      </c>
      <c r="CH21" s="2" t="n">
        <v>0</v>
      </c>
      <c r="CI21" s="2" t="n">
        <v>0</v>
      </c>
      <c r="CJ21" s="2" t="n">
        <v>0</v>
      </c>
      <c r="CK21" s="2" t="n">
        <v>0</v>
      </c>
      <c r="CL21" s="2" t="n">
        <v>0</v>
      </c>
      <c r="CM21" s="2" t="n">
        <v>0</v>
      </c>
      <c r="CN21" s="2" t="n">
        <v>0</v>
      </c>
      <c r="CO21" s="2" t="n">
        <v>0</v>
      </c>
      <c r="CP21" s="2" t="n">
        <v>1</v>
      </c>
      <c r="CQ21" s="2" t="n">
        <v>0</v>
      </c>
      <c r="CR21" s="2" t="n">
        <v>0</v>
      </c>
      <c r="CS21" s="2" t="n">
        <v>0</v>
      </c>
      <c r="CT21" s="2" t="n">
        <v>0</v>
      </c>
      <c r="CU21" s="2" t="n">
        <v>0</v>
      </c>
      <c r="CV21" s="2" t="n">
        <v>0</v>
      </c>
      <c r="CW21" s="2" t="n">
        <v>0</v>
      </c>
      <c r="CX21" s="2" t="n">
        <v>0</v>
      </c>
      <c r="CY21" s="2" t="n">
        <v>0</v>
      </c>
      <c r="CZ21" s="2" t="n">
        <v>0</v>
      </c>
      <c r="DA21" s="2" t="n">
        <v>0</v>
      </c>
      <c r="DB21" s="2" t="n">
        <v>0</v>
      </c>
      <c r="DC21" s="2" t="n">
        <v>0</v>
      </c>
      <c r="DD21" s="2" t="n">
        <v>0</v>
      </c>
      <c r="DE21" s="2" t="n">
        <v>0</v>
      </c>
      <c r="DF21" s="2" t="n">
        <v>0</v>
      </c>
      <c r="DG21" s="2" t="n">
        <v>0</v>
      </c>
      <c r="DH21" s="2" t="n">
        <v>0</v>
      </c>
      <c r="DI21" s="2" t="n">
        <v>0</v>
      </c>
      <c r="DJ21" s="2" t="n">
        <v>0</v>
      </c>
      <c r="DK21" s="2" t="n">
        <v>0</v>
      </c>
      <c r="DL21" s="2" t="n">
        <v>0</v>
      </c>
      <c r="DM21" s="2" t="n">
        <v>0</v>
      </c>
      <c r="DN21" s="2" t="n">
        <v>0</v>
      </c>
      <c r="DO21" s="2" t="n">
        <v>0</v>
      </c>
      <c r="DP21" s="2" t="n">
        <v>0</v>
      </c>
      <c r="DQ21" s="2" t="n">
        <v>1</v>
      </c>
      <c r="DR21" s="2" t="n">
        <v>0</v>
      </c>
      <c r="DS21" s="2" t="n">
        <v>0</v>
      </c>
      <c r="DT21" s="2" t="n">
        <v>0</v>
      </c>
      <c r="DU21" s="2" t="n">
        <v>0</v>
      </c>
      <c r="DV21" s="2" t="n">
        <v>0</v>
      </c>
      <c r="DW21" s="2" t="n">
        <v>0</v>
      </c>
      <c r="DX21" s="2" t="n">
        <v>0</v>
      </c>
      <c r="DY21" s="2" t="n">
        <v>0</v>
      </c>
      <c r="DZ21" s="2" t="n">
        <v>1</v>
      </c>
      <c r="EA21" s="2" t="n">
        <v>0</v>
      </c>
      <c r="EB21" s="2" t="n">
        <v>0</v>
      </c>
      <c r="EC21" s="2" t="n">
        <v>0</v>
      </c>
      <c r="ED21" s="2" t="n">
        <v>0</v>
      </c>
      <c r="EE21" s="2" t="n">
        <v>0</v>
      </c>
      <c r="EF21" s="2" t="n">
        <v>0</v>
      </c>
      <c r="EG21" s="2" t="n">
        <v>0</v>
      </c>
      <c r="EH21" s="2" t="n">
        <v>0</v>
      </c>
      <c r="EI21" s="2" t="n">
        <v>0</v>
      </c>
      <c r="EJ21" s="2" t="n">
        <v>0</v>
      </c>
      <c r="EK21" s="2" t="n">
        <v>0</v>
      </c>
      <c r="EL21" s="2" t="n">
        <v>6</v>
      </c>
      <c r="EM21" s="2" t="n">
        <v>0</v>
      </c>
      <c r="EN21" s="2" t="n">
        <v>0</v>
      </c>
      <c r="EO21" s="2" t="n">
        <v>0</v>
      </c>
      <c r="EP21" s="2" t="n">
        <v>0</v>
      </c>
      <c r="EQ21" s="2" t="n">
        <v>0</v>
      </c>
      <c r="ER21" s="2" t="n">
        <v>0</v>
      </c>
      <c r="ES21" s="2" t="n">
        <v>12</v>
      </c>
      <c r="ET21" s="2" t="n">
        <v>0</v>
      </c>
      <c r="EU21" s="2" t="n">
        <v>0</v>
      </c>
    </row>
    <row r="22" customFormat="false" ht="15" hidden="false" customHeight="false" outlineLevel="0" collapsed="false">
      <c r="A22" s="2" t="s">
        <v>100</v>
      </c>
      <c r="B22" s="2" t="s">
        <v>95</v>
      </c>
      <c r="C22" s="2" t="n">
        <v>0</v>
      </c>
      <c r="D22" s="2" t="n">
        <v>0</v>
      </c>
      <c r="E22" s="2" t="n">
        <v>1</v>
      </c>
      <c r="F22" s="2" t="n">
        <v>0</v>
      </c>
      <c r="G22" s="2" t="n">
        <v>0</v>
      </c>
      <c r="H22" s="2" t="n">
        <v>0</v>
      </c>
      <c r="I22" s="2" t="n">
        <v>0</v>
      </c>
      <c r="J22" s="2" t="n">
        <v>0</v>
      </c>
      <c r="K22" s="2" t="n">
        <v>0</v>
      </c>
      <c r="L22" s="2" t="n">
        <v>0</v>
      </c>
      <c r="M22" s="2" t="n">
        <v>0</v>
      </c>
      <c r="N22" s="2" t="n">
        <v>0</v>
      </c>
      <c r="O22" s="2" t="n">
        <v>0</v>
      </c>
      <c r="P22" s="2" t="n">
        <v>0</v>
      </c>
      <c r="Q22" s="2" t="n">
        <v>0</v>
      </c>
      <c r="R22" s="2" t="n">
        <v>0</v>
      </c>
      <c r="S22" s="2" t="n">
        <v>0</v>
      </c>
      <c r="T22" s="2" t="n">
        <v>0</v>
      </c>
      <c r="U22" s="2" t="n">
        <v>0</v>
      </c>
      <c r="V22" s="2" t="n">
        <v>0</v>
      </c>
      <c r="W22" s="2" t="n">
        <v>0</v>
      </c>
      <c r="X22" s="2" t="n">
        <v>0</v>
      </c>
      <c r="Y22" s="2" t="n">
        <v>0</v>
      </c>
      <c r="Z22" s="2" t="n">
        <v>0</v>
      </c>
      <c r="AA22" s="2" t="n">
        <v>1</v>
      </c>
      <c r="AB22" s="2" t="n">
        <v>0</v>
      </c>
      <c r="AC22" s="2" t="n">
        <v>0</v>
      </c>
      <c r="AD22" s="2" t="n">
        <v>0</v>
      </c>
      <c r="AE22" s="2" t="n">
        <v>0</v>
      </c>
      <c r="AF22" s="2" t="n">
        <v>0</v>
      </c>
      <c r="AG22" s="2" t="n">
        <v>0</v>
      </c>
      <c r="AH22" s="2" t="n">
        <v>0</v>
      </c>
      <c r="AI22" s="2" t="n">
        <v>0</v>
      </c>
      <c r="AJ22" s="2" t="n">
        <v>0</v>
      </c>
      <c r="AK22" s="2" t="n">
        <v>0</v>
      </c>
      <c r="AL22" s="2" t="n">
        <v>0</v>
      </c>
      <c r="AM22" s="2" t="n">
        <v>20</v>
      </c>
      <c r="AN22" s="2" t="n">
        <v>0</v>
      </c>
      <c r="AO22" s="2" t="n">
        <v>0</v>
      </c>
      <c r="AP22" s="2" t="n">
        <v>0</v>
      </c>
      <c r="AQ22" s="2" t="n">
        <v>0</v>
      </c>
      <c r="AR22" s="2" t="n">
        <v>0</v>
      </c>
      <c r="AS22" s="2" t="n">
        <v>3</v>
      </c>
      <c r="AT22" s="2" t="n">
        <v>0</v>
      </c>
      <c r="AU22" s="2" t="n">
        <v>0</v>
      </c>
      <c r="AV22" s="2" t="n">
        <v>0</v>
      </c>
      <c r="AW22" s="2" t="n">
        <v>0</v>
      </c>
      <c r="AX22" s="2" t="n">
        <v>0</v>
      </c>
      <c r="AY22" s="2" t="n">
        <v>0</v>
      </c>
      <c r="AZ22" s="2" t="n">
        <v>1</v>
      </c>
      <c r="BA22" s="2" t="n">
        <v>1</v>
      </c>
      <c r="BB22" s="2" t="n">
        <v>1</v>
      </c>
      <c r="BC22" s="2" t="n">
        <v>1</v>
      </c>
      <c r="BD22" s="2" t="n">
        <v>0</v>
      </c>
      <c r="BE22" s="2" t="n">
        <v>0</v>
      </c>
      <c r="BF22" s="2" t="n">
        <v>0</v>
      </c>
      <c r="BG22" s="2" t="n">
        <v>0</v>
      </c>
      <c r="BH22" s="2" t="n">
        <v>0</v>
      </c>
      <c r="BI22" s="2" t="n">
        <v>0</v>
      </c>
      <c r="BJ22" s="2" t="n">
        <v>0</v>
      </c>
      <c r="BK22" s="2" t="n">
        <v>0</v>
      </c>
      <c r="BL22" s="2" t="n">
        <v>0</v>
      </c>
      <c r="BM22" s="2" t="n">
        <v>0</v>
      </c>
      <c r="BN22" s="2" t="n">
        <v>0</v>
      </c>
      <c r="BO22" s="2" t="n">
        <v>0</v>
      </c>
      <c r="BP22" s="2" t="n">
        <v>0</v>
      </c>
      <c r="BQ22" s="2" t="n">
        <v>0</v>
      </c>
      <c r="BR22" s="2" t="n">
        <v>1</v>
      </c>
      <c r="BS22" s="2" t="n">
        <v>0</v>
      </c>
      <c r="BT22" s="2" t="n">
        <v>6</v>
      </c>
      <c r="BU22" s="2" t="n">
        <v>0</v>
      </c>
      <c r="BV22" s="2" t="n">
        <v>0</v>
      </c>
      <c r="BW22" s="2" t="n">
        <v>0</v>
      </c>
      <c r="BX22" s="2" t="n">
        <v>0</v>
      </c>
      <c r="BY22" s="2" t="n">
        <v>0</v>
      </c>
      <c r="BZ22" s="2" t="n">
        <v>0</v>
      </c>
      <c r="CA22" s="2" t="n">
        <v>0</v>
      </c>
      <c r="CB22" s="2" t="n">
        <v>0</v>
      </c>
      <c r="CC22" s="2" t="n">
        <v>0</v>
      </c>
      <c r="CD22" s="2" t="n">
        <v>0</v>
      </c>
      <c r="CE22" s="2" t="n">
        <v>0</v>
      </c>
      <c r="CF22" s="2" t="n">
        <v>0</v>
      </c>
      <c r="CG22" s="2" t="n">
        <v>0</v>
      </c>
      <c r="CH22" s="2" t="n">
        <v>0</v>
      </c>
      <c r="CI22" s="2" t="n">
        <v>0</v>
      </c>
      <c r="CJ22" s="2" t="n">
        <v>0</v>
      </c>
      <c r="CK22" s="2" t="n">
        <v>0</v>
      </c>
      <c r="CL22" s="2" t="n">
        <v>1</v>
      </c>
      <c r="CM22" s="2" t="n">
        <v>0</v>
      </c>
      <c r="CN22" s="2" t="n">
        <v>0</v>
      </c>
      <c r="CO22" s="2" t="n">
        <v>1</v>
      </c>
      <c r="CP22" s="2" t="n">
        <v>0</v>
      </c>
      <c r="CQ22" s="2" t="n">
        <v>0</v>
      </c>
      <c r="CR22" s="2" t="n">
        <v>0</v>
      </c>
      <c r="CS22" s="2" t="n">
        <v>0</v>
      </c>
      <c r="CT22" s="2" t="n">
        <v>0</v>
      </c>
      <c r="CU22" s="2" t="n">
        <v>0</v>
      </c>
      <c r="CV22" s="2" t="n">
        <v>0</v>
      </c>
      <c r="CW22" s="2" t="n">
        <v>0</v>
      </c>
      <c r="CX22" s="2" t="n">
        <v>0</v>
      </c>
      <c r="CY22" s="2" t="n">
        <v>1</v>
      </c>
      <c r="CZ22" s="2" t="n">
        <v>0</v>
      </c>
      <c r="DA22" s="2" t="n">
        <v>0</v>
      </c>
      <c r="DB22" s="2" t="n">
        <v>0</v>
      </c>
      <c r="DC22" s="2" t="n">
        <v>0</v>
      </c>
      <c r="DD22" s="2" t="n">
        <v>0</v>
      </c>
      <c r="DE22" s="2" t="n">
        <v>0</v>
      </c>
      <c r="DF22" s="2" t="n">
        <v>0</v>
      </c>
      <c r="DG22" s="2" t="n">
        <v>2</v>
      </c>
      <c r="DH22" s="2" t="n">
        <v>0</v>
      </c>
      <c r="DI22" s="2" t="n">
        <v>0</v>
      </c>
      <c r="DJ22" s="2" t="n">
        <v>0</v>
      </c>
      <c r="DK22" s="2" t="n">
        <v>0</v>
      </c>
      <c r="DL22" s="2" t="n">
        <v>0</v>
      </c>
      <c r="DM22" s="2" t="n">
        <v>0</v>
      </c>
      <c r="DN22" s="2" t="n">
        <v>0</v>
      </c>
      <c r="DO22" s="2" t="n">
        <v>0</v>
      </c>
      <c r="DP22" s="2" t="n">
        <v>0</v>
      </c>
      <c r="DQ22" s="2" t="n">
        <v>0</v>
      </c>
      <c r="DR22" s="2" t="n">
        <v>0</v>
      </c>
      <c r="DS22" s="2" t="n">
        <v>0</v>
      </c>
      <c r="DT22" s="2" t="n">
        <v>0</v>
      </c>
      <c r="DU22" s="2" t="n">
        <v>0</v>
      </c>
      <c r="DV22" s="2" t="n">
        <v>0</v>
      </c>
      <c r="DW22" s="2" t="n">
        <v>0</v>
      </c>
      <c r="DX22" s="2" t="n">
        <v>0</v>
      </c>
      <c r="DY22" s="2" t="n">
        <v>0</v>
      </c>
      <c r="DZ22" s="2" t="n">
        <v>2</v>
      </c>
      <c r="EA22" s="2" t="n">
        <v>0</v>
      </c>
      <c r="EB22" s="2" t="n">
        <v>0</v>
      </c>
      <c r="EC22" s="2" t="n">
        <v>0</v>
      </c>
      <c r="ED22" s="2" t="n">
        <v>0</v>
      </c>
      <c r="EE22" s="2" t="n">
        <v>0</v>
      </c>
      <c r="EF22" s="2" t="n">
        <v>0</v>
      </c>
      <c r="EG22" s="2" t="n">
        <v>0</v>
      </c>
      <c r="EH22" s="2" t="n">
        <v>0</v>
      </c>
      <c r="EI22" s="2" t="n">
        <v>0</v>
      </c>
      <c r="EJ22" s="2" t="n">
        <v>0</v>
      </c>
      <c r="EK22" s="2" t="n">
        <v>0</v>
      </c>
      <c r="EL22" s="2" t="n">
        <v>1</v>
      </c>
      <c r="EM22" s="2" t="n">
        <v>0</v>
      </c>
      <c r="EN22" s="2" t="n">
        <v>0</v>
      </c>
      <c r="EO22" s="2" t="n">
        <v>0</v>
      </c>
      <c r="EP22" s="2" t="n">
        <v>0</v>
      </c>
      <c r="EQ22" s="2" t="n">
        <v>0</v>
      </c>
      <c r="ER22" s="2" t="n">
        <v>0</v>
      </c>
      <c r="ES22" s="2" t="n">
        <v>50</v>
      </c>
      <c r="ET22" s="2" t="n">
        <v>0</v>
      </c>
      <c r="EU22" s="2" t="n">
        <v>0</v>
      </c>
    </row>
    <row r="23" customFormat="false" ht="15" hidden="false" customHeight="false" outlineLevel="0" collapsed="false">
      <c r="A23" s="2" t="s">
        <v>101</v>
      </c>
      <c r="B23" s="2" t="s">
        <v>95</v>
      </c>
      <c r="C23" s="2" t="n">
        <v>2</v>
      </c>
      <c r="D23" s="2" t="n">
        <v>0</v>
      </c>
      <c r="E23" s="2" t="n">
        <v>1</v>
      </c>
      <c r="F23" s="2" t="n">
        <v>1</v>
      </c>
      <c r="G23" s="2" t="n">
        <v>0</v>
      </c>
      <c r="H23" s="2" t="n">
        <v>0</v>
      </c>
      <c r="I23" s="2" t="n">
        <v>0</v>
      </c>
      <c r="J23" s="2" t="n">
        <v>0</v>
      </c>
      <c r="K23" s="2" t="n">
        <v>0</v>
      </c>
      <c r="L23" s="2" t="n">
        <v>0</v>
      </c>
      <c r="M23" s="2" t="n">
        <v>1</v>
      </c>
      <c r="N23" s="2" t="n">
        <v>0</v>
      </c>
      <c r="O23" s="2" t="n">
        <v>0</v>
      </c>
      <c r="P23" s="2" t="n">
        <v>0</v>
      </c>
      <c r="Q23" s="2" t="n">
        <v>0</v>
      </c>
      <c r="R23" s="2" t="n">
        <v>0</v>
      </c>
      <c r="S23" s="2" t="n">
        <v>0</v>
      </c>
      <c r="T23" s="2" t="n">
        <v>0</v>
      </c>
      <c r="U23" s="2" t="n">
        <v>0</v>
      </c>
      <c r="V23" s="2" t="n">
        <v>0</v>
      </c>
      <c r="W23" s="2" t="n">
        <v>0</v>
      </c>
      <c r="X23" s="2" t="n">
        <v>0</v>
      </c>
      <c r="Y23" s="2" t="n">
        <v>0</v>
      </c>
      <c r="Z23" s="2" t="n">
        <v>4</v>
      </c>
      <c r="AA23" s="2" t="n">
        <v>1</v>
      </c>
      <c r="AB23" s="2" t="n">
        <v>0</v>
      </c>
      <c r="AC23" s="2" t="n">
        <v>0</v>
      </c>
      <c r="AD23" s="2" t="n">
        <v>0</v>
      </c>
      <c r="AE23" s="2" t="n">
        <v>0</v>
      </c>
      <c r="AF23" s="2" t="n">
        <v>0</v>
      </c>
      <c r="AG23" s="2" t="n">
        <v>0</v>
      </c>
      <c r="AH23" s="2" t="n">
        <v>0</v>
      </c>
      <c r="AI23" s="2" t="n">
        <v>0</v>
      </c>
      <c r="AJ23" s="2" t="n">
        <v>0</v>
      </c>
      <c r="AK23" s="2" t="n">
        <v>0</v>
      </c>
      <c r="AL23" s="2" t="n">
        <v>0</v>
      </c>
      <c r="AM23" s="2" t="n">
        <v>0</v>
      </c>
      <c r="AN23" s="2" t="n">
        <v>0</v>
      </c>
      <c r="AO23" s="2" t="n">
        <v>0</v>
      </c>
      <c r="AP23" s="2" t="n">
        <v>0</v>
      </c>
      <c r="AQ23" s="2" t="n">
        <v>0</v>
      </c>
      <c r="AR23" s="2" t="n">
        <v>0</v>
      </c>
      <c r="AS23" s="2" t="n">
        <v>2</v>
      </c>
      <c r="AT23" s="2" t="n">
        <v>0</v>
      </c>
      <c r="AU23" s="2" t="n">
        <v>0</v>
      </c>
      <c r="AV23" s="2" t="n">
        <v>0</v>
      </c>
      <c r="AW23" s="2" t="n">
        <v>0</v>
      </c>
      <c r="AX23" s="2" t="n">
        <v>0</v>
      </c>
      <c r="AY23" s="2" t="n">
        <v>0</v>
      </c>
      <c r="AZ23" s="2" t="n">
        <v>0</v>
      </c>
      <c r="BA23" s="2" t="n">
        <v>0</v>
      </c>
      <c r="BB23" s="2" t="n">
        <v>0</v>
      </c>
      <c r="BC23" s="2" t="n">
        <v>0</v>
      </c>
      <c r="BD23" s="2" t="n">
        <v>0</v>
      </c>
      <c r="BE23" s="2" t="n">
        <v>0</v>
      </c>
      <c r="BF23" s="2" t="n">
        <v>0</v>
      </c>
      <c r="BG23" s="2" t="n">
        <v>0</v>
      </c>
      <c r="BH23" s="2" t="n">
        <v>0</v>
      </c>
      <c r="BI23" s="2" t="n">
        <v>0</v>
      </c>
      <c r="BJ23" s="2" t="n">
        <v>0</v>
      </c>
      <c r="BK23" s="2" t="n">
        <v>0</v>
      </c>
      <c r="BL23" s="2" t="n">
        <v>0</v>
      </c>
      <c r="BM23" s="2" t="n">
        <v>0</v>
      </c>
      <c r="BN23" s="2" t="n">
        <v>0</v>
      </c>
      <c r="BO23" s="2" t="n">
        <v>0</v>
      </c>
      <c r="BP23" s="2" t="n">
        <v>0</v>
      </c>
      <c r="BQ23" s="2" t="n">
        <v>0</v>
      </c>
      <c r="BR23" s="2" t="n">
        <v>0</v>
      </c>
      <c r="BS23" s="2" t="n">
        <v>0</v>
      </c>
      <c r="BT23" s="2" t="n">
        <v>0</v>
      </c>
      <c r="BU23" s="2" t="n">
        <v>0</v>
      </c>
      <c r="BV23" s="2" t="n">
        <v>0</v>
      </c>
      <c r="BW23" s="2" t="n">
        <v>1</v>
      </c>
      <c r="BX23" s="2" t="n">
        <v>0</v>
      </c>
      <c r="BY23" s="2" t="n">
        <v>0</v>
      </c>
      <c r="BZ23" s="2" t="n">
        <v>0</v>
      </c>
      <c r="CA23" s="2" t="n">
        <v>0</v>
      </c>
      <c r="CB23" s="2" t="n">
        <v>0</v>
      </c>
      <c r="CC23" s="2" t="n">
        <v>0</v>
      </c>
      <c r="CD23" s="2" t="n">
        <v>0</v>
      </c>
      <c r="CE23" s="2" t="n">
        <v>0</v>
      </c>
      <c r="CF23" s="2" t="n">
        <v>0</v>
      </c>
      <c r="CG23" s="2" t="n">
        <v>0</v>
      </c>
      <c r="CH23" s="2" t="n">
        <v>0</v>
      </c>
      <c r="CI23" s="2" t="n">
        <v>0</v>
      </c>
      <c r="CJ23" s="2" t="n">
        <v>0</v>
      </c>
      <c r="CK23" s="2" t="n">
        <v>0</v>
      </c>
      <c r="CL23" s="2" t="n">
        <v>1</v>
      </c>
      <c r="CM23" s="2" t="n">
        <v>0</v>
      </c>
      <c r="CN23" s="2" t="n">
        <v>0</v>
      </c>
      <c r="CO23" s="2" t="n">
        <v>0</v>
      </c>
      <c r="CP23" s="2" t="n">
        <v>0</v>
      </c>
      <c r="CQ23" s="2" t="n">
        <v>0</v>
      </c>
      <c r="CR23" s="2" t="n">
        <v>0</v>
      </c>
      <c r="CS23" s="2" t="n">
        <v>0</v>
      </c>
      <c r="CT23" s="2" t="n">
        <v>0</v>
      </c>
      <c r="CU23" s="2" t="n">
        <v>0</v>
      </c>
      <c r="CV23" s="2" t="n">
        <v>0</v>
      </c>
      <c r="CW23" s="2" t="n">
        <v>0</v>
      </c>
      <c r="CX23" s="2" t="n">
        <v>0</v>
      </c>
      <c r="CY23" s="2" t="n">
        <v>3</v>
      </c>
      <c r="CZ23" s="2" t="n">
        <v>0</v>
      </c>
      <c r="DA23" s="2" t="n">
        <v>0</v>
      </c>
      <c r="DB23" s="2" t="n">
        <v>0</v>
      </c>
      <c r="DC23" s="2" t="n">
        <v>0</v>
      </c>
      <c r="DD23" s="2" t="n">
        <v>0</v>
      </c>
      <c r="DE23" s="2" t="n">
        <v>0</v>
      </c>
      <c r="DF23" s="2" t="n">
        <v>0</v>
      </c>
      <c r="DG23" s="2" t="n">
        <v>0</v>
      </c>
      <c r="DH23" s="2" t="n">
        <v>0</v>
      </c>
      <c r="DI23" s="2" t="n">
        <v>0</v>
      </c>
      <c r="DJ23" s="2" t="n">
        <v>0</v>
      </c>
      <c r="DK23" s="2" t="n">
        <v>0</v>
      </c>
      <c r="DL23" s="2" t="n">
        <v>0</v>
      </c>
      <c r="DM23" s="2" t="n">
        <v>0</v>
      </c>
      <c r="DN23" s="2" t="n">
        <v>0</v>
      </c>
      <c r="DO23" s="2" t="n">
        <v>0</v>
      </c>
      <c r="DP23" s="2" t="n">
        <v>0</v>
      </c>
      <c r="DQ23" s="2" t="n">
        <v>0</v>
      </c>
      <c r="DR23" s="2" t="n">
        <v>0</v>
      </c>
      <c r="DS23" s="2" t="n">
        <v>0</v>
      </c>
      <c r="DT23" s="2" t="n">
        <v>0</v>
      </c>
      <c r="DU23" s="2" t="n">
        <v>0</v>
      </c>
      <c r="DV23" s="2" t="n">
        <v>0</v>
      </c>
      <c r="DW23" s="2" t="n">
        <v>3</v>
      </c>
      <c r="DX23" s="2" t="n">
        <v>0</v>
      </c>
      <c r="DY23" s="2" t="n">
        <v>0</v>
      </c>
      <c r="DZ23" s="2" t="n">
        <v>0</v>
      </c>
      <c r="EA23" s="2" t="n">
        <v>0</v>
      </c>
      <c r="EB23" s="2" t="n">
        <v>0</v>
      </c>
      <c r="EC23" s="2" t="n">
        <v>0</v>
      </c>
      <c r="ED23" s="2" t="n">
        <v>1</v>
      </c>
      <c r="EE23" s="2" t="n">
        <v>0</v>
      </c>
      <c r="EF23" s="2" t="n">
        <v>0</v>
      </c>
      <c r="EG23" s="2" t="n">
        <v>0</v>
      </c>
      <c r="EH23" s="2" t="n">
        <v>0</v>
      </c>
      <c r="EI23" s="2" t="n">
        <v>0</v>
      </c>
      <c r="EJ23" s="2" t="n">
        <v>0</v>
      </c>
      <c r="EK23" s="2" t="n">
        <v>0</v>
      </c>
      <c r="EL23" s="2" t="n">
        <v>5</v>
      </c>
      <c r="EM23" s="2" t="n">
        <v>0</v>
      </c>
      <c r="EN23" s="2" t="n">
        <v>0</v>
      </c>
      <c r="EO23" s="2" t="n">
        <v>0</v>
      </c>
      <c r="EP23" s="2" t="n">
        <v>0</v>
      </c>
      <c r="EQ23" s="2" t="n">
        <v>0</v>
      </c>
      <c r="ER23" s="2" t="n">
        <v>0</v>
      </c>
      <c r="ES23" s="2" t="n">
        <v>5</v>
      </c>
      <c r="ET23" s="2" t="n">
        <v>0</v>
      </c>
      <c r="EU23" s="2"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2"/>
    <col collapsed="false" customWidth="true" hidden="false" outlineLevel="0" max="3" min="3" style="0" width="13"/>
    <col collapsed="false" customWidth="true" hidden="false" outlineLevel="0" max="4" min="4" style="0" width="42"/>
    <col collapsed="false" customWidth="true" hidden="false" outlineLevel="0" max="6" min="5" style="0" width="11"/>
    <col collapsed="false" customWidth="true" hidden="false" outlineLevel="0" max="7" min="7" style="0" width="16"/>
  </cols>
  <sheetData>
    <row r="1" customFormat="false" ht="31.5" hidden="false" customHeight="true" outlineLevel="0" collapsed="false">
      <c r="A1" s="1" t="s">
        <v>404</v>
      </c>
      <c r="B1" s="1" t="s">
        <v>405</v>
      </c>
      <c r="C1" s="1" t="s">
        <v>406</v>
      </c>
      <c r="D1" s="1" t="s">
        <v>407</v>
      </c>
      <c r="E1" s="1" t="s">
        <v>408</v>
      </c>
      <c r="F1" s="1" t="s">
        <v>409</v>
      </c>
      <c r="G1" s="1" t="s">
        <v>410</v>
      </c>
    </row>
    <row r="2" customFormat="false" ht="15" hidden="false" customHeight="false" outlineLevel="0" collapsed="false">
      <c r="A2" s="2" t="s">
        <v>411</v>
      </c>
      <c r="B2" s="2" t="s">
        <v>2</v>
      </c>
      <c r="C2" s="2" t="s">
        <v>412</v>
      </c>
      <c r="D2" s="2" t="s">
        <v>413</v>
      </c>
      <c r="E2" s="2" t="n">
        <v>6</v>
      </c>
      <c r="F2" s="2" t="n">
        <v>4</v>
      </c>
      <c r="G2" s="2" t="str">
        <f aca="false">IF(EXACT(A2,B2),"no","sí")</f>
        <v>sí</v>
      </c>
    </row>
    <row r="3" customFormat="false" ht="15" hidden="false" customHeight="false" outlineLevel="0" collapsed="false">
      <c r="A3" s="2" t="s">
        <v>3</v>
      </c>
      <c r="B3" s="2" t="s">
        <v>3</v>
      </c>
      <c r="C3" s="2" t="s">
        <v>412</v>
      </c>
      <c r="D3" s="2" t="s">
        <v>414</v>
      </c>
      <c r="E3" s="2" t="n">
        <v>1</v>
      </c>
      <c r="F3" s="2" t="n">
        <v>1</v>
      </c>
      <c r="G3" s="2" t="str">
        <f aca="false">IF(EXACT(A3,B3),"no","sí")</f>
        <v>no</v>
      </c>
    </row>
    <row r="4" customFormat="false" ht="15" hidden="false" customHeight="false" outlineLevel="0" collapsed="false">
      <c r="A4" s="2" t="s">
        <v>4</v>
      </c>
      <c r="B4" s="2" t="s">
        <v>4</v>
      </c>
      <c r="C4" s="2" t="s">
        <v>412</v>
      </c>
      <c r="D4" s="2" t="s">
        <v>414</v>
      </c>
      <c r="E4" s="2" t="n">
        <v>7</v>
      </c>
      <c r="F4" s="2" t="n">
        <v>5</v>
      </c>
      <c r="G4" s="2" t="str">
        <f aca="false">IF(EXACT(A4,B4),"no","sí")</f>
        <v>no</v>
      </c>
    </row>
    <row r="5" customFormat="false" ht="15" hidden="false" customHeight="false" outlineLevel="0" collapsed="false">
      <c r="A5" s="2" t="s">
        <v>330</v>
      </c>
      <c r="B5" s="2" t="s">
        <v>330</v>
      </c>
      <c r="C5" s="2" t="s">
        <v>415</v>
      </c>
      <c r="D5" s="2" t="s">
        <v>416</v>
      </c>
      <c r="E5" s="2" t="n">
        <v>1</v>
      </c>
      <c r="F5" s="2" t="n">
        <v>1</v>
      </c>
      <c r="G5" s="2" t="str">
        <f aca="false">IF(EXACT(A5,B5),"no","sí")</f>
        <v>no</v>
      </c>
    </row>
    <row r="6" customFormat="false" ht="15" hidden="false" customHeight="false" outlineLevel="0" collapsed="false">
      <c r="A6" s="2" t="s">
        <v>331</v>
      </c>
      <c r="B6" s="2" t="s">
        <v>331</v>
      </c>
      <c r="C6" s="2" t="s">
        <v>412</v>
      </c>
      <c r="D6" s="2" t="s">
        <v>417</v>
      </c>
      <c r="E6" s="2" t="n">
        <v>1</v>
      </c>
      <c r="F6" s="2" t="n">
        <v>1</v>
      </c>
      <c r="G6" s="2" t="str">
        <f aca="false">IF(EXACT(A6,B6),"no","sí")</f>
        <v>no</v>
      </c>
    </row>
    <row r="7" customFormat="false" ht="15" hidden="false" customHeight="false" outlineLevel="0" collapsed="false">
      <c r="A7" s="2" t="s">
        <v>332</v>
      </c>
      <c r="B7" s="2" t="s">
        <v>332</v>
      </c>
      <c r="C7" s="2" t="s">
        <v>412</v>
      </c>
      <c r="D7" s="2" t="s">
        <v>417</v>
      </c>
      <c r="E7" s="2" t="n">
        <v>1</v>
      </c>
      <c r="F7" s="2" t="n">
        <v>1</v>
      </c>
      <c r="G7" s="2" t="str">
        <f aca="false">IF(EXACT(A7,B7),"no","sí")</f>
        <v>no</v>
      </c>
    </row>
    <row r="8" customFormat="false" ht="15" hidden="false" customHeight="false" outlineLevel="0" collapsed="false">
      <c r="A8" s="2" t="s">
        <v>5</v>
      </c>
      <c r="B8" s="2" t="s">
        <v>5</v>
      </c>
      <c r="C8" s="2" t="s">
        <v>412</v>
      </c>
      <c r="D8" s="2" t="s">
        <v>414</v>
      </c>
      <c r="E8" s="2" t="n">
        <v>2</v>
      </c>
      <c r="F8" s="2" t="n">
        <v>1</v>
      </c>
      <c r="G8" s="2" t="str">
        <f aca="false">IF(EXACT(A8,B8),"no","sí")</f>
        <v>no</v>
      </c>
    </row>
    <row r="9" customFormat="false" ht="15" hidden="false" customHeight="false" outlineLevel="0" collapsed="false">
      <c r="A9" s="2" t="s">
        <v>6</v>
      </c>
      <c r="B9" s="2" t="s">
        <v>6</v>
      </c>
      <c r="C9" s="2" t="s">
        <v>412</v>
      </c>
      <c r="D9" s="2" t="s">
        <v>414</v>
      </c>
      <c r="E9" s="2" t="n">
        <v>11</v>
      </c>
      <c r="F9" s="2" t="n">
        <v>7</v>
      </c>
      <c r="G9" s="2" t="str">
        <f aca="false">IF(EXACT(A9,B9),"no","sí")</f>
        <v>no</v>
      </c>
    </row>
    <row r="10" customFormat="false" ht="15" hidden="false" customHeight="false" outlineLevel="0" collapsed="false">
      <c r="A10" s="2" t="s">
        <v>333</v>
      </c>
      <c r="B10" s="2" t="s">
        <v>333</v>
      </c>
      <c r="C10" s="2" t="s">
        <v>412</v>
      </c>
      <c r="D10" s="2" t="s">
        <v>417</v>
      </c>
      <c r="E10" s="2" t="n">
        <v>1</v>
      </c>
      <c r="F10" s="2" t="n">
        <v>1</v>
      </c>
      <c r="G10" s="2" t="str">
        <f aca="false">IF(EXACT(A10,B10),"no","sí")</f>
        <v>no</v>
      </c>
    </row>
    <row r="11" customFormat="false" ht="15" hidden="false" customHeight="false" outlineLevel="0" collapsed="false">
      <c r="A11" s="2" t="s">
        <v>334</v>
      </c>
      <c r="B11" s="2" t="s">
        <v>334</v>
      </c>
      <c r="C11" s="2" t="s">
        <v>412</v>
      </c>
      <c r="D11" s="2" t="s">
        <v>417</v>
      </c>
      <c r="E11" s="2" t="n">
        <v>261</v>
      </c>
      <c r="F11" s="2" t="n">
        <v>5</v>
      </c>
      <c r="G11" s="2" t="str">
        <f aca="false">IF(EXACT(A11,B11),"no","sí")</f>
        <v>no</v>
      </c>
    </row>
    <row r="12" customFormat="false" ht="15" hidden="false" customHeight="false" outlineLevel="0" collapsed="false">
      <c r="A12" s="2" t="s">
        <v>7</v>
      </c>
      <c r="B12" s="2" t="s">
        <v>7</v>
      </c>
      <c r="C12" s="2" t="s">
        <v>412</v>
      </c>
      <c r="D12" s="2" t="s">
        <v>414</v>
      </c>
      <c r="E12" s="2" t="n">
        <v>41</v>
      </c>
      <c r="F12" s="2" t="n">
        <v>5</v>
      </c>
      <c r="G12" s="2" t="str">
        <f aca="false">IF(EXACT(A12,B12),"no","sí")</f>
        <v>no</v>
      </c>
    </row>
    <row r="13" customFormat="false" ht="15" hidden="false" customHeight="false" outlineLevel="0" collapsed="false">
      <c r="A13" s="2" t="s">
        <v>8</v>
      </c>
      <c r="B13" s="2" t="s">
        <v>8</v>
      </c>
      <c r="C13" s="2" t="s">
        <v>412</v>
      </c>
      <c r="D13" s="2" t="s">
        <v>414</v>
      </c>
      <c r="E13" s="2" t="n">
        <v>1</v>
      </c>
      <c r="F13" s="2" t="n">
        <v>1</v>
      </c>
      <c r="G13" s="2" t="str">
        <f aca="false">IF(EXACT(A13,B13),"no","sí")</f>
        <v>no</v>
      </c>
    </row>
    <row r="14" customFormat="false" ht="15" hidden="false" customHeight="false" outlineLevel="0" collapsed="false">
      <c r="A14" s="2" t="s">
        <v>9</v>
      </c>
      <c r="B14" s="2" t="s">
        <v>9</v>
      </c>
      <c r="C14" s="2" t="s">
        <v>412</v>
      </c>
      <c r="D14" s="2" t="s">
        <v>414</v>
      </c>
      <c r="E14" s="2" t="n">
        <v>29</v>
      </c>
      <c r="F14" s="2" t="n">
        <v>5</v>
      </c>
      <c r="G14" s="2" t="str">
        <f aca="false">IF(EXACT(A14,B14),"no","sí")</f>
        <v>no</v>
      </c>
    </row>
    <row r="15" customFormat="false" ht="15" hidden="false" customHeight="false" outlineLevel="0" collapsed="false">
      <c r="A15" s="2" t="s">
        <v>10</v>
      </c>
      <c r="B15" s="2" t="s">
        <v>10</v>
      </c>
      <c r="C15" s="2" t="s">
        <v>412</v>
      </c>
      <c r="D15" s="2" t="s">
        <v>414</v>
      </c>
      <c r="E15" s="2" t="n">
        <v>31</v>
      </c>
      <c r="F15" s="2" t="n">
        <v>9</v>
      </c>
      <c r="G15" s="2" t="str">
        <f aca="false">IF(EXACT(A15,B15),"no","sí")</f>
        <v>no</v>
      </c>
    </row>
    <row r="16" customFormat="false" ht="15" hidden="false" customHeight="false" outlineLevel="0" collapsed="false">
      <c r="A16" s="2" t="s">
        <v>11</v>
      </c>
      <c r="B16" s="2" t="s">
        <v>11</v>
      </c>
      <c r="C16" s="2" t="s">
        <v>412</v>
      </c>
      <c r="D16" s="2" t="s">
        <v>414</v>
      </c>
      <c r="E16" s="2" t="n">
        <v>1</v>
      </c>
      <c r="F16" s="2" t="n">
        <v>1</v>
      </c>
      <c r="G16" s="2" t="str">
        <f aca="false">IF(EXACT(A16,B16),"no","sí")</f>
        <v>no</v>
      </c>
    </row>
    <row r="17" customFormat="false" ht="15" hidden="false" customHeight="false" outlineLevel="0" collapsed="false">
      <c r="A17" s="2" t="s">
        <v>12</v>
      </c>
      <c r="B17" s="2" t="s">
        <v>12</v>
      </c>
      <c r="C17" s="2" t="s">
        <v>412</v>
      </c>
      <c r="D17" s="2" t="s">
        <v>414</v>
      </c>
      <c r="E17" s="2" t="n">
        <v>1</v>
      </c>
      <c r="F17" s="2" t="n">
        <v>1</v>
      </c>
      <c r="G17" s="2" t="str">
        <f aca="false">IF(EXACT(A17,B17),"no","sí")</f>
        <v>no</v>
      </c>
    </row>
    <row r="18" customFormat="false" ht="15" hidden="false" customHeight="false" outlineLevel="0" collapsed="false">
      <c r="A18" s="2" t="s">
        <v>335</v>
      </c>
      <c r="B18" s="2" t="s">
        <v>335</v>
      </c>
      <c r="C18" s="2" t="s">
        <v>412</v>
      </c>
      <c r="D18" s="2" t="s">
        <v>417</v>
      </c>
      <c r="E18" s="2" t="n">
        <v>1</v>
      </c>
      <c r="F18" s="2" t="n">
        <v>1</v>
      </c>
      <c r="G18" s="2" t="str">
        <f aca="false">IF(EXACT(A18,B18),"no","sí")</f>
        <v>no</v>
      </c>
    </row>
    <row r="19" customFormat="false" ht="15" hidden="false" customHeight="false" outlineLevel="0" collapsed="false">
      <c r="A19" s="2" t="s">
        <v>336</v>
      </c>
      <c r="B19" s="2" t="s">
        <v>336</v>
      </c>
      <c r="C19" s="2" t="s">
        <v>412</v>
      </c>
      <c r="D19" s="2" t="s">
        <v>417</v>
      </c>
      <c r="E19" s="2" t="n">
        <v>3</v>
      </c>
      <c r="F19" s="2" t="n">
        <v>2</v>
      </c>
      <c r="G19" s="2" t="str">
        <f aca="false">IF(EXACT(A19,B19),"no","sí")</f>
        <v>no</v>
      </c>
    </row>
    <row r="20" customFormat="false" ht="15" hidden="false" customHeight="false" outlineLevel="0" collapsed="false">
      <c r="A20" s="2" t="s">
        <v>337</v>
      </c>
      <c r="B20" s="2" t="s">
        <v>337</v>
      </c>
      <c r="C20" s="2" t="s">
        <v>412</v>
      </c>
      <c r="D20" s="2" t="s">
        <v>417</v>
      </c>
      <c r="E20" s="2" t="n">
        <v>5</v>
      </c>
      <c r="F20" s="2" t="n">
        <v>2</v>
      </c>
      <c r="G20" s="2" t="str">
        <f aca="false">IF(EXACT(A20,B20),"no","sí")</f>
        <v>no</v>
      </c>
    </row>
    <row r="21" customFormat="false" ht="15" hidden="false" customHeight="false" outlineLevel="0" collapsed="false">
      <c r="A21" s="2" t="s">
        <v>338</v>
      </c>
      <c r="B21" s="2" t="s">
        <v>338</v>
      </c>
      <c r="C21" s="2" t="s">
        <v>412</v>
      </c>
      <c r="D21" s="2" t="s">
        <v>417</v>
      </c>
      <c r="E21" s="2" t="n">
        <v>1</v>
      </c>
      <c r="F21" s="2" t="n">
        <v>1</v>
      </c>
      <c r="G21" s="2" t="str">
        <f aca="false">IF(EXACT(A21,B21),"no","sí")</f>
        <v>no</v>
      </c>
    </row>
    <row r="22" customFormat="false" ht="15" hidden="false" customHeight="false" outlineLevel="0" collapsed="false">
      <c r="A22" s="2" t="s">
        <v>418</v>
      </c>
      <c r="B22" s="2" t="s">
        <v>13</v>
      </c>
      <c r="C22" s="2" t="s">
        <v>412</v>
      </c>
      <c r="D22" s="2" t="s">
        <v>414</v>
      </c>
      <c r="E22" s="2" t="n">
        <v>18</v>
      </c>
      <c r="F22" s="2" t="n">
        <v>5</v>
      </c>
      <c r="G22" s="2" t="str">
        <f aca="false">IF(EXACT(A22,B22),"no","sí")</f>
        <v>sí</v>
      </c>
    </row>
    <row r="23" customFormat="false" ht="15" hidden="false" customHeight="false" outlineLevel="0" collapsed="false">
      <c r="A23" s="2" t="s">
        <v>419</v>
      </c>
      <c r="B23" s="2" t="s">
        <v>339</v>
      </c>
      <c r="C23" s="2" t="s">
        <v>415</v>
      </c>
      <c r="D23" s="2" t="s">
        <v>416</v>
      </c>
      <c r="E23" s="2" t="n">
        <v>2</v>
      </c>
      <c r="F23" s="2" t="n">
        <v>2</v>
      </c>
      <c r="G23" s="2" t="str">
        <f aca="false">IF(EXACT(A23,B23),"no","sí")</f>
        <v>sí</v>
      </c>
    </row>
    <row r="24" customFormat="false" ht="15" hidden="false" customHeight="false" outlineLevel="0" collapsed="false">
      <c r="A24" s="2" t="s">
        <v>14</v>
      </c>
      <c r="B24" s="2" t="s">
        <v>14</v>
      </c>
      <c r="C24" s="2" t="s">
        <v>412</v>
      </c>
      <c r="D24" s="2" t="s">
        <v>414</v>
      </c>
      <c r="E24" s="2" t="n">
        <v>1</v>
      </c>
      <c r="F24" s="2" t="n">
        <v>1</v>
      </c>
      <c r="G24" s="2" t="str">
        <f aca="false">IF(EXACT(A24,B24),"no","sí")</f>
        <v>no</v>
      </c>
    </row>
    <row r="25" customFormat="false" ht="15" hidden="false" customHeight="false" outlineLevel="0" collapsed="false">
      <c r="A25" s="2" t="s">
        <v>15</v>
      </c>
      <c r="B25" s="2" t="s">
        <v>15</v>
      </c>
      <c r="C25" s="2" t="s">
        <v>412</v>
      </c>
      <c r="D25" s="2" t="s">
        <v>414</v>
      </c>
      <c r="E25" s="2" t="n">
        <v>25</v>
      </c>
      <c r="F25" s="2" t="n">
        <v>6</v>
      </c>
      <c r="G25" s="2" t="str">
        <f aca="false">IF(EXACT(A25,B25),"no","sí")</f>
        <v>no</v>
      </c>
    </row>
    <row r="26" customFormat="false" ht="15" hidden="false" customHeight="false" outlineLevel="0" collapsed="false">
      <c r="A26" s="2" t="s">
        <v>340</v>
      </c>
      <c r="B26" s="2" t="s">
        <v>340</v>
      </c>
      <c r="C26" s="2" t="s">
        <v>412</v>
      </c>
      <c r="D26" s="2" t="s">
        <v>417</v>
      </c>
      <c r="E26" s="2" t="n">
        <v>4</v>
      </c>
      <c r="F26" s="2" t="n">
        <v>4</v>
      </c>
      <c r="G26" s="2" t="str">
        <f aca="false">IF(EXACT(A26,B26),"no","sí")</f>
        <v>no</v>
      </c>
    </row>
    <row r="27" customFormat="false" ht="15" hidden="false" customHeight="false" outlineLevel="0" collapsed="false">
      <c r="A27" s="2" t="s">
        <v>16</v>
      </c>
      <c r="B27" s="2" t="s">
        <v>16</v>
      </c>
      <c r="C27" s="2" t="s">
        <v>412</v>
      </c>
      <c r="D27" s="2" t="s">
        <v>414</v>
      </c>
      <c r="E27" s="2" t="n">
        <v>1</v>
      </c>
      <c r="F27" s="2" t="n">
        <v>1</v>
      </c>
      <c r="G27" s="2" t="str">
        <f aca="false">IF(EXACT(A27,B27),"no","sí")</f>
        <v>no</v>
      </c>
    </row>
    <row r="28" customFormat="false" ht="15" hidden="false" customHeight="false" outlineLevel="0" collapsed="false">
      <c r="A28" s="2" t="s">
        <v>17</v>
      </c>
      <c r="B28" s="2" t="s">
        <v>17</v>
      </c>
      <c r="C28" s="2" t="s">
        <v>412</v>
      </c>
      <c r="D28" s="2" t="s">
        <v>414</v>
      </c>
      <c r="E28" s="2" t="n">
        <v>4</v>
      </c>
      <c r="F28" s="2" t="n">
        <v>3</v>
      </c>
      <c r="G28" s="2" t="str">
        <f aca="false">IF(EXACT(A28,B28),"no","sí")</f>
        <v>no</v>
      </c>
    </row>
    <row r="29" customFormat="false" ht="15" hidden="false" customHeight="false" outlineLevel="0" collapsed="false">
      <c r="A29" s="2" t="s">
        <v>18</v>
      </c>
      <c r="B29" s="2" t="s">
        <v>18</v>
      </c>
      <c r="C29" s="2" t="s">
        <v>412</v>
      </c>
      <c r="D29" s="2" t="s">
        <v>414</v>
      </c>
      <c r="E29" s="2" t="n">
        <v>1</v>
      </c>
      <c r="F29" s="2" t="n">
        <v>1</v>
      </c>
      <c r="G29" s="2" t="str">
        <f aca="false">IF(EXACT(A29,B29),"no","sí")</f>
        <v>no</v>
      </c>
    </row>
    <row r="30" customFormat="false" ht="15" hidden="false" customHeight="false" outlineLevel="0" collapsed="false">
      <c r="A30" s="2" t="s">
        <v>19</v>
      </c>
      <c r="B30" s="2" t="s">
        <v>19</v>
      </c>
      <c r="C30" s="2" t="s">
        <v>412</v>
      </c>
      <c r="D30" s="2" t="s">
        <v>414</v>
      </c>
      <c r="E30" s="2" t="n">
        <v>2</v>
      </c>
      <c r="F30" s="2" t="n">
        <v>2</v>
      </c>
      <c r="G30" s="2" t="str">
        <f aca="false">IF(EXACT(A30,B30),"no","sí")</f>
        <v>no</v>
      </c>
    </row>
    <row r="31" customFormat="false" ht="15" hidden="false" customHeight="false" outlineLevel="0" collapsed="false">
      <c r="A31" s="2" t="s">
        <v>341</v>
      </c>
      <c r="B31" s="2" t="s">
        <v>341</v>
      </c>
      <c r="C31" s="2" t="s">
        <v>412</v>
      </c>
      <c r="D31" s="2" t="s">
        <v>417</v>
      </c>
      <c r="E31" s="2" t="n">
        <v>7</v>
      </c>
      <c r="F31" s="2" t="n">
        <v>1</v>
      </c>
      <c r="G31" s="2" t="str">
        <f aca="false">IF(EXACT(A31,B31),"no","sí")</f>
        <v>no</v>
      </c>
    </row>
    <row r="32" customFormat="false" ht="15" hidden="false" customHeight="false" outlineLevel="0" collapsed="false">
      <c r="A32" s="2" t="s">
        <v>20</v>
      </c>
      <c r="B32" s="2" t="s">
        <v>20</v>
      </c>
      <c r="C32" s="2" t="s">
        <v>412</v>
      </c>
      <c r="D32" s="2" t="s">
        <v>414</v>
      </c>
      <c r="E32" s="2" t="n">
        <v>40</v>
      </c>
      <c r="F32" s="2" t="n">
        <v>3</v>
      </c>
      <c r="G32" s="2" t="str">
        <f aca="false">IF(EXACT(A32,B32),"no","sí")</f>
        <v>no</v>
      </c>
    </row>
    <row r="33" customFormat="false" ht="15" hidden="false" customHeight="false" outlineLevel="0" collapsed="false">
      <c r="A33" s="2" t="s">
        <v>21</v>
      </c>
      <c r="B33" s="2" t="s">
        <v>21</v>
      </c>
      <c r="C33" s="2" t="s">
        <v>412</v>
      </c>
      <c r="D33" s="2" t="s">
        <v>414</v>
      </c>
      <c r="E33" s="2" t="n">
        <v>1</v>
      </c>
      <c r="F33" s="2" t="n">
        <v>1</v>
      </c>
      <c r="G33" s="2" t="str">
        <f aca="false">IF(EXACT(A33,B33),"no","sí")</f>
        <v>no</v>
      </c>
    </row>
    <row r="34" customFormat="false" ht="15" hidden="false" customHeight="false" outlineLevel="0" collapsed="false">
      <c r="A34" s="2" t="s">
        <v>342</v>
      </c>
      <c r="B34" s="2" t="s">
        <v>342</v>
      </c>
      <c r="C34" s="2" t="s">
        <v>412</v>
      </c>
      <c r="D34" s="2" t="s">
        <v>417</v>
      </c>
      <c r="E34" s="2" t="n">
        <v>4</v>
      </c>
      <c r="F34" s="2" t="n">
        <v>3</v>
      </c>
      <c r="G34" s="2" t="str">
        <f aca="false">IF(EXACT(A34,B34),"no","sí")</f>
        <v>no</v>
      </c>
    </row>
    <row r="35" customFormat="false" ht="15" hidden="false" customHeight="false" outlineLevel="0" collapsed="false">
      <c r="A35" s="2" t="s">
        <v>343</v>
      </c>
      <c r="B35" s="2" t="s">
        <v>343</v>
      </c>
      <c r="C35" s="2" t="s">
        <v>412</v>
      </c>
      <c r="D35" s="2" t="s">
        <v>417</v>
      </c>
      <c r="E35" s="2" t="n">
        <v>8</v>
      </c>
      <c r="F35" s="2" t="n">
        <v>4</v>
      </c>
      <c r="G35" s="2" t="str">
        <f aca="false">IF(EXACT(A35,B35),"no","sí")</f>
        <v>no</v>
      </c>
    </row>
    <row r="36" customFormat="false" ht="15" hidden="false" customHeight="false" outlineLevel="0" collapsed="false">
      <c r="A36" s="2" t="s">
        <v>344</v>
      </c>
      <c r="B36" s="2" t="s">
        <v>344</v>
      </c>
      <c r="C36" s="2" t="s">
        <v>412</v>
      </c>
      <c r="D36" s="2" t="s">
        <v>417</v>
      </c>
      <c r="E36" s="2" t="n">
        <v>1</v>
      </c>
      <c r="F36" s="2" t="n">
        <v>1</v>
      </c>
      <c r="G36" s="2" t="str">
        <f aca="false">IF(EXACT(A36,B36),"no","sí")</f>
        <v>no</v>
      </c>
    </row>
    <row r="37" customFormat="false" ht="15" hidden="false" customHeight="false" outlineLevel="0" collapsed="false">
      <c r="A37" s="2" t="s">
        <v>345</v>
      </c>
      <c r="B37" s="2" t="s">
        <v>345</v>
      </c>
      <c r="C37" s="2" t="s">
        <v>412</v>
      </c>
      <c r="D37" s="2" t="s">
        <v>417</v>
      </c>
      <c r="E37" s="2" t="n">
        <v>4</v>
      </c>
      <c r="F37" s="2" t="n">
        <v>1</v>
      </c>
      <c r="G37" s="2" t="str">
        <f aca="false">IF(EXACT(A37,B37),"no","sí")</f>
        <v>no</v>
      </c>
    </row>
    <row r="38" customFormat="false" ht="15" hidden="false" customHeight="false" outlineLevel="0" collapsed="false">
      <c r="A38" s="2" t="s">
        <v>346</v>
      </c>
      <c r="B38" s="2" t="s">
        <v>346</v>
      </c>
      <c r="C38" s="2" t="s">
        <v>412</v>
      </c>
      <c r="D38" s="2" t="s">
        <v>417</v>
      </c>
      <c r="E38" s="2" t="n">
        <v>78</v>
      </c>
      <c r="F38" s="2" t="n">
        <v>2</v>
      </c>
      <c r="G38" s="2" t="str">
        <f aca="false">IF(EXACT(A38,B38),"no","sí")</f>
        <v>no</v>
      </c>
    </row>
    <row r="39" customFormat="false" ht="15" hidden="false" customHeight="false" outlineLevel="0" collapsed="false">
      <c r="A39" s="2" t="s">
        <v>347</v>
      </c>
      <c r="B39" s="2" t="s">
        <v>347</v>
      </c>
      <c r="C39" s="2" t="s">
        <v>412</v>
      </c>
      <c r="D39" s="2" t="s">
        <v>417</v>
      </c>
      <c r="E39" s="2" t="n">
        <v>2</v>
      </c>
      <c r="F39" s="2" t="n">
        <v>2</v>
      </c>
      <c r="G39" s="2" t="str">
        <f aca="false">IF(EXACT(A39,B39),"no","sí")</f>
        <v>no</v>
      </c>
    </row>
    <row r="40" customFormat="false" ht="15" hidden="false" customHeight="false" outlineLevel="0" collapsed="false">
      <c r="A40" s="2" t="s">
        <v>22</v>
      </c>
      <c r="B40" s="2" t="s">
        <v>22</v>
      </c>
      <c r="C40" s="2" t="s">
        <v>412</v>
      </c>
      <c r="D40" s="2" t="s">
        <v>414</v>
      </c>
      <c r="E40" s="2" t="n">
        <v>19</v>
      </c>
      <c r="F40" s="2" t="n">
        <v>5</v>
      </c>
      <c r="G40" s="2" t="str">
        <f aca="false">IF(EXACT(A40,B40),"no","sí")</f>
        <v>no</v>
      </c>
    </row>
    <row r="41" customFormat="false" ht="15" hidden="false" customHeight="false" outlineLevel="0" collapsed="false">
      <c r="A41" s="2" t="s">
        <v>23</v>
      </c>
      <c r="B41" s="2" t="s">
        <v>23</v>
      </c>
      <c r="C41" s="2" t="s">
        <v>412</v>
      </c>
      <c r="D41" s="2" t="s">
        <v>414</v>
      </c>
      <c r="E41" s="2" t="n">
        <v>22</v>
      </c>
      <c r="F41" s="2" t="n">
        <v>2</v>
      </c>
      <c r="G41" s="2" t="str">
        <f aca="false">IF(EXACT(A41,B41),"no","sí")</f>
        <v>no</v>
      </c>
    </row>
    <row r="42" customFormat="false" ht="15" hidden="false" customHeight="false" outlineLevel="0" collapsed="false">
      <c r="A42" s="2" t="s">
        <v>348</v>
      </c>
      <c r="B42" s="2" t="s">
        <v>348</v>
      </c>
      <c r="C42" s="2" t="s">
        <v>412</v>
      </c>
      <c r="D42" s="2" t="s">
        <v>417</v>
      </c>
      <c r="E42" s="2" t="n">
        <v>6</v>
      </c>
      <c r="F42" s="2" t="n">
        <v>4</v>
      </c>
      <c r="G42" s="2" t="str">
        <f aca="false">IF(EXACT(A42,B42),"no","sí")</f>
        <v>no</v>
      </c>
    </row>
    <row r="43" customFormat="false" ht="15" hidden="false" customHeight="false" outlineLevel="0" collapsed="false">
      <c r="A43" s="2" t="s">
        <v>24</v>
      </c>
      <c r="B43" s="2" t="s">
        <v>24</v>
      </c>
      <c r="C43" s="2" t="s">
        <v>412</v>
      </c>
      <c r="D43" s="2" t="s">
        <v>414</v>
      </c>
      <c r="E43" s="2" t="n">
        <v>1</v>
      </c>
      <c r="F43" s="2" t="n">
        <v>1</v>
      </c>
      <c r="G43" s="2" t="str">
        <f aca="false">IF(EXACT(A43,B43),"no","sí")</f>
        <v>no</v>
      </c>
    </row>
    <row r="44" customFormat="false" ht="15" hidden="false" customHeight="false" outlineLevel="0" collapsed="false">
      <c r="A44" s="2" t="s">
        <v>25</v>
      </c>
      <c r="B44" s="2" t="s">
        <v>25</v>
      </c>
      <c r="C44" s="2" t="s">
        <v>412</v>
      </c>
      <c r="D44" s="2" t="s">
        <v>414</v>
      </c>
      <c r="E44" s="2" t="n">
        <v>90</v>
      </c>
      <c r="F44" s="2" t="n">
        <v>14</v>
      </c>
      <c r="G44" s="2" t="str">
        <f aca="false">IF(EXACT(A44,B44),"no","sí")</f>
        <v>no</v>
      </c>
    </row>
    <row r="45" customFormat="false" ht="15" hidden="false" customHeight="false" outlineLevel="0" collapsed="false">
      <c r="A45" s="2" t="s">
        <v>349</v>
      </c>
      <c r="B45" s="2" t="s">
        <v>349</v>
      </c>
      <c r="C45" s="2" t="s">
        <v>412</v>
      </c>
      <c r="D45" s="2" t="s">
        <v>417</v>
      </c>
      <c r="E45" s="2" t="n">
        <v>2</v>
      </c>
      <c r="F45" s="2" t="n">
        <v>1</v>
      </c>
      <c r="G45" s="2" t="str">
        <f aca="false">IF(EXACT(A45,B45),"no","sí")</f>
        <v>no</v>
      </c>
    </row>
    <row r="46" customFormat="false" ht="15" hidden="false" customHeight="false" outlineLevel="0" collapsed="false">
      <c r="A46" s="2" t="s">
        <v>350</v>
      </c>
      <c r="B46" s="2" t="s">
        <v>350</v>
      </c>
      <c r="C46" s="2" t="s">
        <v>412</v>
      </c>
      <c r="D46" s="2" t="s">
        <v>417</v>
      </c>
      <c r="E46" s="2" t="n">
        <v>7</v>
      </c>
      <c r="F46" s="2" t="n">
        <v>3</v>
      </c>
      <c r="G46" s="2" t="str">
        <f aca="false">IF(EXACT(A46,B46),"no","sí")</f>
        <v>no</v>
      </c>
    </row>
    <row r="47" customFormat="false" ht="15" hidden="false" customHeight="false" outlineLevel="0" collapsed="false">
      <c r="A47" s="2" t="s">
        <v>26</v>
      </c>
      <c r="B47" s="2" t="s">
        <v>26</v>
      </c>
      <c r="C47" s="2" t="s">
        <v>412</v>
      </c>
      <c r="D47" s="2" t="s">
        <v>414</v>
      </c>
      <c r="E47" s="2" t="n">
        <v>4</v>
      </c>
      <c r="F47" s="2" t="n">
        <v>2</v>
      </c>
      <c r="G47" s="2" t="str">
        <f aca="false">IF(EXACT(A47,B47),"no","sí")</f>
        <v>no</v>
      </c>
    </row>
    <row r="48" customFormat="false" ht="15" hidden="false" customHeight="false" outlineLevel="0" collapsed="false">
      <c r="A48" s="2" t="s">
        <v>420</v>
      </c>
      <c r="B48" s="2" t="s">
        <v>351</v>
      </c>
      <c r="C48" s="2" t="s">
        <v>415</v>
      </c>
      <c r="D48" s="2" t="s">
        <v>416</v>
      </c>
      <c r="E48" s="2" t="n">
        <v>2</v>
      </c>
      <c r="F48" s="2" t="n">
        <v>1</v>
      </c>
      <c r="G48" s="2" t="str">
        <f aca="false">IF(EXACT(A48,B48),"no","sí")</f>
        <v>sí</v>
      </c>
    </row>
    <row r="49" customFormat="false" ht="15" hidden="false" customHeight="false" outlineLevel="0" collapsed="false">
      <c r="A49" s="2" t="s">
        <v>352</v>
      </c>
      <c r="B49" s="2" t="s">
        <v>352</v>
      </c>
      <c r="C49" s="2" t="s">
        <v>412</v>
      </c>
      <c r="D49" s="2" t="s">
        <v>417</v>
      </c>
      <c r="E49" s="2" t="n">
        <v>31</v>
      </c>
      <c r="F49" s="2" t="n">
        <v>10</v>
      </c>
      <c r="G49" s="2" t="str">
        <f aca="false">IF(EXACT(A49,B49),"no","sí")</f>
        <v>no</v>
      </c>
    </row>
    <row r="50" customFormat="false" ht="15" hidden="false" customHeight="false" outlineLevel="0" collapsed="false">
      <c r="A50" s="2" t="s">
        <v>353</v>
      </c>
      <c r="B50" s="2" t="s">
        <v>353</v>
      </c>
      <c r="C50" s="2" t="s">
        <v>412</v>
      </c>
      <c r="D50" s="2" t="s">
        <v>417</v>
      </c>
      <c r="E50" s="2" t="n">
        <v>1</v>
      </c>
      <c r="F50" s="2" t="n">
        <v>1</v>
      </c>
      <c r="G50" s="2" t="str">
        <f aca="false">IF(EXACT(A50,B50),"no","sí")</f>
        <v>no</v>
      </c>
    </row>
    <row r="51" customFormat="false" ht="15" hidden="false" customHeight="false" outlineLevel="0" collapsed="false">
      <c r="A51" s="2" t="s">
        <v>354</v>
      </c>
      <c r="B51" s="2" t="s">
        <v>354</v>
      </c>
      <c r="C51" s="2" t="s">
        <v>415</v>
      </c>
      <c r="D51" s="2" t="s">
        <v>416</v>
      </c>
      <c r="E51" s="2" t="n">
        <v>46</v>
      </c>
      <c r="F51" s="2" t="n">
        <v>3</v>
      </c>
      <c r="G51" s="2" t="str">
        <f aca="false">IF(EXACT(A51,B51),"no","sí")</f>
        <v>no</v>
      </c>
    </row>
    <row r="52" customFormat="false" ht="15" hidden="false" customHeight="false" outlineLevel="0" collapsed="false">
      <c r="A52" s="2" t="s">
        <v>355</v>
      </c>
      <c r="B52" s="2" t="s">
        <v>355</v>
      </c>
      <c r="C52" s="2" t="s">
        <v>412</v>
      </c>
      <c r="D52" s="2" t="s">
        <v>417</v>
      </c>
      <c r="E52" s="2" t="n">
        <v>73</v>
      </c>
      <c r="F52" s="2" t="n">
        <v>4</v>
      </c>
      <c r="G52" s="2" t="str">
        <f aca="false">IF(EXACT(A52,B52),"no","sí")</f>
        <v>no</v>
      </c>
    </row>
    <row r="53" customFormat="false" ht="15" hidden="false" customHeight="false" outlineLevel="0" collapsed="false">
      <c r="A53" s="2" t="s">
        <v>27</v>
      </c>
      <c r="B53" s="2" t="s">
        <v>27</v>
      </c>
      <c r="C53" s="2" t="s">
        <v>412</v>
      </c>
      <c r="D53" s="2" t="s">
        <v>414</v>
      </c>
      <c r="E53" s="2" t="n">
        <v>1</v>
      </c>
      <c r="F53" s="2" t="n">
        <v>1</v>
      </c>
      <c r="G53" s="2" t="str">
        <f aca="false">IF(EXACT(A53,B53),"no","sí")</f>
        <v>no</v>
      </c>
    </row>
    <row r="54" customFormat="false" ht="15" hidden="false" customHeight="false" outlineLevel="0" collapsed="false">
      <c r="A54" s="2" t="s">
        <v>28</v>
      </c>
      <c r="B54" s="2" t="s">
        <v>28</v>
      </c>
      <c r="C54" s="2" t="s">
        <v>412</v>
      </c>
      <c r="D54" s="2" t="s">
        <v>414</v>
      </c>
      <c r="E54" s="2" t="n">
        <v>20</v>
      </c>
      <c r="F54" s="2" t="n">
        <v>4</v>
      </c>
      <c r="G54" s="2" t="str">
        <f aca="false">IF(EXACT(A54,B54),"no","sí")</f>
        <v>no</v>
      </c>
    </row>
    <row r="55" customFormat="false" ht="15" hidden="false" customHeight="false" outlineLevel="0" collapsed="false">
      <c r="A55" s="2" t="s">
        <v>356</v>
      </c>
      <c r="B55" s="2" t="s">
        <v>356</v>
      </c>
      <c r="C55" s="2" t="s">
        <v>412</v>
      </c>
      <c r="D55" s="2" t="s">
        <v>417</v>
      </c>
      <c r="E55" s="2" t="n">
        <v>7</v>
      </c>
      <c r="F55" s="2" t="n">
        <v>1</v>
      </c>
      <c r="G55" s="2" t="str">
        <f aca="false">IF(EXACT(A55,B55),"no","sí")</f>
        <v>no</v>
      </c>
    </row>
    <row r="56" customFormat="false" ht="15" hidden="false" customHeight="false" outlineLevel="0" collapsed="false">
      <c r="A56" s="2" t="s">
        <v>29</v>
      </c>
      <c r="B56" s="2" t="s">
        <v>29</v>
      </c>
      <c r="C56" s="2" t="s">
        <v>412</v>
      </c>
      <c r="D56" s="2" t="s">
        <v>414</v>
      </c>
      <c r="E56" s="2" t="n">
        <v>2</v>
      </c>
      <c r="F56" s="2" t="n">
        <v>2</v>
      </c>
      <c r="G56" s="2" t="str">
        <f aca="false">IF(EXACT(A56,B56),"no","sí")</f>
        <v>no</v>
      </c>
    </row>
    <row r="57" customFormat="false" ht="15" hidden="false" customHeight="false" outlineLevel="0" collapsed="false">
      <c r="A57" s="2" t="s">
        <v>421</v>
      </c>
      <c r="B57" s="2" t="s">
        <v>357</v>
      </c>
      <c r="C57" s="2" t="s">
        <v>415</v>
      </c>
      <c r="D57" s="2" t="s">
        <v>416</v>
      </c>
      <c r="E57" s="2" t="n">
        <v>1</v>
      </c>
      <c r="F57" s="2" t="n">
        <v>1</v>
      </c>
      <c r="G57" s="2" t="str">
        <f aca="false">IF(EXACT(A57,B57),"no","sí")</f>
        <v>sí</v>
      </c>
    </row>
    <row r="58" customFormat="false" ht="15" hidden="false" customHeight="false" outlineLevel="0" collapsed="false">
      <c r="A58" s="2" t="s">
        <v>358</v>
      </c>
      <c r="B58" s="2" t="s">
        <v>358</v>
      </c>
      <c r="C58" s="2" t="s">
        <v>412</v>
      </c>
      <c r="D58" s="2" t="s">
        <v>417</v>
      </c>
      <c r="E58" s="2" t="n">
        <v>1</v>
      </c>
      <c r="F58" s="2" t="n">
        <v>1</v>
      </c>
      <c r="G58" s="2" t="str">
        <f aca="false">IF(EXACT(A58,B58),"no","sí")</f>
        <v>no</v>
      </c>
    </row>
    <row r="59" customFormat="false" ht="15" hidden="false" customHeight="false" outlineLevel="0" collapsed="false">
      <c r="A59" s="2" t="s">
        <v>30</v>
      </c>
      <c r="B59" s="2" t="s">
        <v>30</v>
      </c>
      <c r="C59" s="2" t="s">
        <v>412</v>
      </c>
      <c r="D59" s="2" t="s">
        <v>414</v>
      </c>
      <c r="E59" s="2" t="n">
        <v>1</v>
      </c>
      <c r="F59" s="2" t="n">
        <v>1</v>
      </c>
      <c r="G59" s="2" t="str">
        <f aca="false">IF(EXACT(A59,B59),"no","sí")</f>
        <v>no</v>
      </c>
    </row>
    <row r="60" customFormat="false" ht="15" hidden="false" customHeight="false" outlineLevel="0" collapsed="false">
      <c r="A60" s="2" t="s">
        <v>422</v>
      </c>
      <c r="B60" s="2" t="s">
        <v>31</v>
      </c>
      <c r="C60" s="2" t="s">
        <v>412</v>
      </c>
      <c r="D60" s="2" t="s">
        <v>414</v>
      </c>
      <c r="E60" s="2" t="n">
        <v>6</v>
      </c>
      <c r="F60" s="2" t="n">
        <v>2</v>
      </c>
      <c r="G60" s="2" t="str">
        <f aca="false">IF(EXACT(A60,B60),"no","sí")</f>
        <v>sí</v>
      </c>
    </row>
    <row r="61" customFormat="false" ht="15" hidden="false" customHeight="false" outlineLevel="0" collapsed="false">
      <c r="A61" s="2" t="s">
        <v>32</v>
      </c>
      <c r="B61" s="2" t="s">
        <v>32</v>
      </c>
      <c r="C61" s="2" t="s">
        <v>412</v>
      </c>
      <c r="D61" s="2" t="s">
        <v>414</v>
      </c>
      <c r="E61" s="2" t="n">
        <v>1</v>
      </c>
      <c r="F61" s="2" t="n">
        <v>1</v>
      </c>
      <c r="G61" s="2" t="str">
        <f aca="false">IF(EXACT(A61,B61),"no","sí")</f>
        <v>no</v>
      </c>
    </row>
    <row r="62" customFormat="false" ht="15" hidden="false" customHeight="false" outlineLevel="0" collapsed="false">
      <c r="A62" s="2" t="s">
        <v>359</v>
      </c>
      <c r="B62" s="2" t="s">
        <v>359</v>
      </c>
      <c r="C62" s="2" t="s">
        <v>415</v>
      </c>
      <c r="D62" s="2" t="s">
        <v>416</v>
      </c>
      <c r="E62" s="2" t="n">
        <v>1</v>
      </c>
      <c r="F62" s="2" t="n">
        <v>1</v>
      </c>
      <c r="G62" s="2" t="str">
        <f aca="false">IF(EXACT(A62,B62),"no","sí")</f>
        <v>no</v>
      </c>
    </row>
    <row r="63" customFormat="false" ht="15" hidden="false" customHeight="false" outlineLevel="0" collapsed="false">
      <c r="A63" s="2" t="s">
        <v>423</v>
      </c>
      <c r="B63" s="2" t="s">
        <v>33</v>
      </c>
      <c r="C63" s="2" t="s">
        <v>412</v>
      </c>
      <c r="D63" s="2" t="s">
        <v>414</v>
      </c>
      <c r="E63" s="2" t="n">
        <v>14</v>
      </c>
      <c r="F63" s="2" t="n">
        <v>8</v>
      </c>
      <c r="G63" s="2" t="str">
        <f aca="false">IF(EXACT(A63,B63),"no","sí")</f>
        <v>sí</v>
      </c>
    </row>
    <row r="64" customFormat="false" ht="15" hidden="false" customHeight="false" outlineLevel="0" collapsed="false">
      <c r="A64" s="2" t="s">
        <v>360</v>
      </c>
      <c r="B64" s="2" t="s">
        <v>360</v>
      </c>
      <c r="C64" s="2" t="s">
        <v>412</v>
      </c>
      <c r="D64" s="2" t="s">
        <v>417</v>
      </c>
      <c r="E64" s="2" t="n">
        <v>1</v>
      </c>
      <c r="F64" s="2" t="n">
        <v>1</v>
      </c>
      <c r="G64" s="2" t="str">
        <f aca="false">IF(EXACT(A64,B64),"no","sí")</f>
        <v>no</v>
      </c>
    </row>
    <row r="65" customFormat="false" ht="15" hidden="false" customHeight="false" outlineLevel="0" collapsed="false">
      <c r="A65" s="2" t="s">
        <v>34</v>
      </c>
      <c r="B65" s="2" t="s">
        <v>34</v>
      </c>
      <c r="C65" s="2" t="s">
        <v>412</v>
      </c>
      <c r="D65" s="2" t="s">
        <v>414</v>
      </c>
      <c r="E65" s="2" t="n">
        <v>1</v>
      </c>
      <c r="F65" s="2" t="n">
        <v>1</v>
      </c>
      <c r="G65" s="2" t="str">
        <f aca="false">IF(EXACT(A65,B65),"no","sí")</f>
        <v>no</v>
      </c>
    </row>
    <row r="66" customFormat="false" ht="15" hidden="false" customHeight="false" outlineLevel="0" collapsed="false">
      <c r="A66" s="2" t="s">
        <v>35</v>
      </c>
      <c r="B66" s="2" t="s">
        <v>35</v>
      </c>
      <c r="C66" s="2" t="s">
        <v>412</v>
      </c>
      <c r="D66" s="2" t="s">
        <v>414</v>
      </c>
      <c r="E66" s="2" t="n">
        <v>1</v>
      </c>
      <c r="F66" s="2" t="n">
        <v>1</v>
      </c>
      <c r="G66" s="2" t="str">
        <f aca="false">IF(EXACT(A66,B66),"no","sí")</f>
        <v>no</v>
      </c>
    </row>
    <row r="67" customFormat="false" ht="15" hidden="false" customHeight="false" outlineLevel="0" collapsed="false">
      <c r="A67" s="2" t="s">
        <v>361</v>
      </c>
      <c r="B67" s="2" t="s">
        <v>361</v>
      </c>
      <c r="C67" s="2" t="s">
        <v>412</v>
      </c>
      <c r="D67" s="2" t="s">
        <v>417</v>
      </c>
      <c r="E67" s="2" t="n">
        <v>50</v>
      </c>
      <c r="F67" s="2" t="n">
        <v>1</v>
      </c>
      <c r="G67" s="2" t="str">
        <f aca="false">IF(EXACT(A67,B67),"no","sí")</f>
        <v>no</v>
      </c>
    </row>
    <row r="68" customFormat="false" ht="15" hidden="false" customHeight="false" outlineLevel="0" collapsed="false">
      <c r="A68" s="2" t="s">
        <v>362</v>
      </c>
      <c r="B68" s="2" t="s">
        <v>362</v>
      </c>
      <c r="C68" s="2" t="s">
        <v>412</v>
      </c>
      <c r="D68" s="2" t="s">
        <v>417</v>
      </c>
      <c r="E68" s="2" t="n">
        <v>4</v>
      </c>
      <c r="F68" s="2" t="n">
        <v>2</v>
      </c>
      <c r="G68" s="2" t="str">
        <f aca="false">IF(EXACT(A68,B68),"no","sí")</f>
        <v>no</v>
      </c>
    </row>
    <row r="69" customFormat="false" ht="15" hidden="false" customHeight="false" outlineLevel="0" collapsed="false">
      <c r="A69" s="2" t="s">
        <v>363</v>
      </c>
      <c r="B69" s="2" t="s">
        <v>363</v>
      </c>
      <c r="C69" s="2" t="s">
        <v>412</v>
      </c>
      <c r="D69" s="2" t="s">
        <v>417</v>
      </c>
      <c r="E69" s="2" t="n">
        <v>12</v>
      </c>
      <c r="F69" s="2" t="n">
        <v>2</v>
      </c>
      <c r="G69" s="2" t="str">
        <f aca="false">IF(EXACT(A69,B69),"no","sí")</f>
        <v>no</v>
      </c>
    </row>
    <row r="70" customFormat="false" ht="15" hidden="false" customHeight="false" outlineLevel="0" collapsed="false">
      <c r="A70" s="2" t="s">
        <v>364</v>
      </c>
      <c r="B70" s="2" t="s">
        <v>364</v>
      </c>
      <c r="C70" s="2" t="s">
        <v>412</v>
      </c>
      <c r="D70" s="2" t="s">
        <v>417</v>
      </c>
      <c r="E70" s="2" t="n">
        <v>12</v>
      </c>
      <c r="F70" s="2" t="n">
        <v>1</v>
      </c>
      <c r="G70" s="2" t="str">
        <f aca="false">IF(EXACT(A70,B70),"no","sí")</f>
        <v>no</v>
      </c>
    </row>
    <row r="71" customFormat="false" ht="15" hidden="false" customHeight="false" outlineLevel="0" collapsed="false">
      <c r="A71" s="2" t="s">
        <v>365</v>
      </c>
      <c r="B71" s="2" t="s">
        <v>365</v>
      </c>
      <c r="C71" s="2" t="s">
        <v>412</v>
      </c>
      <c r="D71" s="2" t="s">
        <v>417</v>
      </c>
      <c r="E71" s="2" t="n">
        <v>38</v>
      </c>
      <c r="F71" s="2" t="n">
        <v>4</v>
      </c>
      <c r="G71" s="2" t="str">
        <f aca="false">IF(EXACT(A71,B71),"no","sí")</f>
        <v>no</v>
      </c>
    </row>
    <row r="72" customFormat="false" ht="15" hidden="false" customHeight="false" outlineLevel="0" collapsed="false">
      <c r="A72" s="2" t="s">
        <v>366</v>
      </c>
      <c r="B72" s="2" t="s">
        <v>366</v>
      </c>
      <c r="C72" s="2" t="s">
        <v>412</v>
      </c>
      <c r="D72" s="2" t="s">
        <v>417</v>
      </c>
      <c r="E72" s="2" t="n">
        <v>17</v>
      </c>
      <c r="F72" s="2" t="n">
        <v>1</v>
      </c>
      <c r="G72" s="2" t="str">
        <f aca="false">IF(EXACT(A72,B72),"no","sí")</f>
        <v>no</v>
      </c>
    </row>
    <row r="73" customFormat="false" ht="15" hidden="false" customHeight="false" outlineLevel="0" collapsed="false">
      <c r="A73" s="2" t="s">
        <v>36</v>
      </c>
      <c r="B73" s="2" t="s">
        <v>36</v>
      </c>
      <c r="C73" s="2" t="s">
        <v>412</v>
      </c>
      <c r="D73" s="2" t="s">
        <v>414</v>
      </c>
      <c r="E73" s="2" t="n">
        <v>1</v>
      </c>
      <c r="F73" s="2" t="n">
        <v>1</v>
      </c>
      <c r="G73" s="2" t="str">
        <f aca="false">IF(EXACT(A73,B73),"no","sí")</f>
        <v>no</v>
      </c>
    </row>
    <row r="74" customFormat="false" ht="15" hidden="false" customHeight="false" outlineLevel="0" collapsed="false">
      <c r="A74" s="2" t="s">
        <v>37</v>
      </c>
      <c r="B74" s="2" t="s">
        <v>37</v>
      </c>
      <c r="C74" s="2" t="s">
        <v>412</v>
      </c>
      <c r="D74" s="2" t="s">
        <v>414</v>
      </c>
      <c r="E74" s="2" t="n">
        <v>13</v>
      </c>
      <c r="F74" s="2" t="n">
        <v>6</v>
      </c>
      <c r="G74" s="2" t="str">
        <f aca="false">IF(EXACT(A74,B74),"no","sí")</f>
        <v>no</v>
      </c>
    </row>
    <row r="75" customFormat="false" ht="15" hidden="false" customHeight="false" outlineLevel="0" collapsed="false">
      <c r="A75" s="2" t="s">
        <v>367</v>
      </c>
      <c r="B75" s="2" t="s">
        <v>367</v>
      </c>
      <c r="C75" s="2" t="s">
        <v>412</v>
      </c>
      <c r="D75" s="2" t="s">
        <v>417</v>
      </c>
      <c r="E75" s="2" t="n">
        <v>144</v>
      </c>
      <c r="F75" s="2" t="n">
        <v>2</v>
      </c>
      <c r="G75" s="2" t="str">
        <f aca="false">IF(EXACT(A75,B75),"no","sí")</f>
        <v>no</v>
      </c>
    </row>
    <row r="76" customFormat="false" ht="15" hidden="false" customHeight="false" outlineLevel="0" collapsed="false">
      <c r="A76" s="2" t="s">
        <v>38</v>
      </c>
      <c r="B76" s="2" t="s">
        <v>38</v>
      </c>
      <c r="C76" s="2" t="s">
        <v>412</v>
      </c>
      <c r="D76" s="2" t="s">
        <v>414</v>
      </c>
      <c r="E76" s="2" t="n">
        <v>4</v>
      </c>
      <c r="F76" s="2" t="n">
        <v>3</v>
      </c>
      <c r="G76" s="2" t="str">
        <f aca="false">IF(EXACT(A76,B76),"no","sí")</f>
        <v>no</v>
      </c>
    </row>
    <row r="77" customFormat="false" ht="15" hidden="false" customHeight="false" outlineLevel="0" collapsed="false">
      <c r="A77" s="2" t="s">
        <v>39</v>
      </c>
      <c r="B77" s="2" t="s">
        <v>39</v>
      </c>
      <c r="C77" s="2" t="s">
        <v>412</v>
      </c>
      <c r="D77" s="2" t="s">
        <v>414</v>
      </c>
      <c r="E77" s="2" t="n">
        <v>1</v>
      </c>
      <c r="F77" s="2" t="n">
        <v>1</v>
      </c>
      <c r="G77" s="2" t="str">
        <f aca="false">IF(EXACT(A77,B77),"no","sí")</f>
        <v>no</v>
      </c>
    </row>
    <row r="78" customFormat="false" ht="15" hidden="false" customHeight="false" outlineLevel="0" collapsed="false">
      <c r="A78" s="2" t="s">
        <v>424</v>
      </c>
      <c r="B78" s="2" t="s">
        <v>368</v>
      </c>
      <c r="C78" s="2" t="s">
        <v>412</v>
      </c>
      <c r="D78" s="2" t="s">
        <v>417</v>
      </c>
      <c r="E78" s="2" t="n">
        <v>2</v>
      </c>
      <c r="F78" s="2" t="n">
        <v>1</v>
      </c>
      <c r="G78" s="2" t="str">
        <f aca="false">IF(EXACT(A78,B78),"no","sí")</f>
        <v>sí</v>
      </c>
    </row>
    <row r="79" customFormat="false" ht="15" hidden="false" customHeight="false" outlineLevel="0" collapsed="false">
      <c r="A79" s="2" t="s">
        <v>369</v>
      </c>
      <c r="B79" s="2" t="s">
        <v>369</v>
      </c>
      <c r="C79" s="2" t="s">
        <v>412</v>
      </c>
      <c r="D79" s="2" t="s">
        <v>417</v>
      </c>
      <c r="E79" s="2" t="n">
        <v>2</v>
      </c>
      <c r="F79" s="2" t="n">
        <v>2</v>
      </c>
      <c r="G79" s="2" t="str">
        <f aca="false">IF(EXACT(A79,B79),"no","sí")</f>
        <v>no</v>
      </c>
    </row>
    <row r="80" customFormat="false" ht="15" hidden="false" customHeight="false" outlineLevel="0" collapsed="false">
      <c r="A80" s="2" t="s">
        <v>40</v>
      </c>
      <c r="B80" s="2" t="s">
        <v>40</v>
      </c>
      <c r="C80" s="2" t="s">
        <v>412</v>
      </c>
      <c r="D80" s="2" t="s">
        <v>414</v>
      </c>
      <c r="E80" s="2" t="n">
        <v>1</v>
      </c>
      <c r="F80" s="2" t="n">
        <v>1</v>
      </c>
      <c r="G80" s="2" t="str">
        <f aca="false">IF(EXACT(A80,B80),"no","sí")</f>
        <v>no</v>
      </c>
    </row>
    <row r="81" customFormat="false" ht="15" hidden="false" customHeight="false" outlineLevel="0" collapsed="false">
      <c r="A81" s="2" t="s">
        <v>41</v>
      </c>
      <c r="B81" s="2" t="s">
        <v>41</v>
      </c>
      <c r="C81" s="2" t="s">
        <v>412</v>
      </c>
      <c r="D81" s="2" t="s">
        <v>414</v>
      </c>
      <c r="E81" s="2" t="n">
        <v>12</v>
      </c>
      <c r="F81" s="2" t="n">
        <v>5</v>
      </c>
      <c r="G81" s="2" t="str">
        <f aca="false">IF(EXACT(A81,B81),"no","sí")</f>
        <v>no</v>
      </c>
    </row>
    <row r="82" customFormat="false" ht="15" hidden="false" customHeight="false" outlineLevel="0" collapsed="false">
      <c r="A82" s="2" t="s">
        <v>370</v>
      </c>
      <c r="B82" s="2" t="s">
        <v>370</v>
      </c>
      <c r="C82" s="2" t="s">
        <v>415</v>
      </c>
      <c r="D82" s="2" t="s">
        <v>416</v>
      </c>
      <c r="E82" s="2" t="n">
        <v>3</v>
      </c>
      <c r="F82" s="2" t="n">
        <v>3</v>
      </c>
      <c r="G82" s="2" t="str">
        <f aca="false">IF(EXACT(A82,B82),"no","sí")</f>
        <v>no</v>
      </c>
    </row>
    <row r="83" customFormat="false" ht="15" hidden="false" customHeight="false" outlineLevel="0" collapsed="false">
      <c r="A83" s="2" t="s">
        <v>371</v>
      </c>
      <c r="B83" s="2" t="s">
        <v>371</v>
      </c>
      <c r="C83" s="2" t="s">
        <v>412</v>
      </c>
      <c r="D83" s="2" t="s">
        <v>417</v>
      </c>
      <c r="E83" s="2" t="n">
        <v>1</v>
      </c>
      <c r="F83" s="2" t="n">
        <v>1</v>
      </c>
      <c r="G83" s="2" t="str">
        <f aca="false">IF(EXACT(A83,B83),"no","sí")</f>
        <v>no</v>
      </c>
    </row>
    <row r="84" customFormat="false" ht="15" hidden="false" customHeight="false" outlineLevel="0" collapsed="false">
      <c r="A84" s="2" t="s">
        <v>372</v>
      </c>
      <c r="B84" s="2" t="s">
        <v>372</v>
      </c>
      <c r="C84" s="2" t="s">
        <v>412</v>
      </c>
      <c r="D84" s="2" t="s">
        <v>417</v>
      </c>
      <c r="E84" s="2" t="n">
        <v>146</v>
      </c>
      <c r="F84" s="2" t="n">
        <v>2</v>
      </c>
      <c r="G84" s="2" t="str">
        <f aca="false">IF(EXACT(A84,B84),"no","sí")</f>
        <v>no</v>
      </c>
    </row>
    <row r="85" customFormat="false" ht="15" hidden="false" customHeight="false" outlineLevel="0" collapsed="false">
      <c r="A85" s="2" t="s">
        <v>42</v>
      </c>
      <c r="B85" s="2" t="s">
        <v>42</v>
      </c>
      <c r="C85" s="2" t="s">
        <v>412</v>
      </c>
      <c r="D85" s="2" t="s">
        <v>414</v>
      </c>
      <c r="E85" s="2" t="n">
        <v>43</v>
      </c>
      <c r="F85" s="2" t="n">
        <v>1</v>
      </c>
      <c r="G85" s="2" t="str">
        <f aca="false">IF(EXACT(A85,B85),"no","sí")</f>
        <v>no</v>
      </c>
    </row>
    <row r="86" customFormat="false" ht="15" hidden="false" customHeight="false" outlineLevel="0" collapsed="false">
      <c r="A86" s="2" t="s">
        <v>425</v>
      </c>
      <c r="B86" s="2" t="s">
        <v>373</v>
      </c>
      <c r="C86" s="2" t="s">
        <v>412</v>
      </c>
      <c r="D86" s="2" t="s">
        <v>417</v>
      </c>
      <c r="E86" s="2" t="n">
        <v>1</v>
      </c>
      <c r="F86" s="2" t="n">
        <v>1</v>
      </c>
      <c r="G86" s="2" t="str">
        <f aca="false">IF(EXACT(A86,B86),"no","sí")</f>
        <v>sí</v>
      </c>
    </row>
    <row r="87" customFormat="false" ht="15" hidden="false" customHeight="false" outlineLevel="0" collapsed="false">
      <c r="A87" s="2" t="s">
        <v>43</v>
      </c>
      <c r="B87" s="2" t="s">
        <v>43</v>
      </c>
      <c r="C87" s="2" t="s">
        <v>412</v>
      </c>
      <c r="D87" s="2" t="s">
        <v>414</v>
      </c>
      <c r="E87" s="2" t="n">
        <v>1</v>
      </c>
      <c r="F87" s="2" t="n">
        <v>1</v>
      </c>
      <c r="G87" s="2" t="str">
        <f aca="false">IF(EXACT(A87,B87),"no","sí")</f>
        <v>no</v>
      </c>
    </row>
    <row r="88" customFormat="false" ht="15" hidden="false" customHeight="false" outlineLevel="0" collapsed="false">
      <c r="A88" s="2" t="s">
        <v>374</v>
      </c>
      <c r="B88" s="2" t="s">
        <v>374</v>
      </c>
      <c r="C88" s="2" t="s">
        <v>412</v>
      </c>
      <c r="D88" s="2" t="s">
        <v>417</v>
      </c>
      <c r="E88" s="2" t="n">
        <v>8</v>
      </c>
      <c r="F88" s="2" t="n">
        <v>1</v>
      </c>
      <c r="G88" s="2" t="str">
        <f aca="false">IF(EXACT(A88,B88),"no","sí")</f>
        <v>no</v>
      </c>
    </row>
    <row r="89" customFormat="false" ht="15" hidden="false" customHeight="false" outlineLevel="0" collapsed="false">
      <c r="A89" s="2" t="s">
        <v>375</v>
      </c>
      <c r="B89" s="2" t="s">
        <v>375</v>
      </c>
      <c r="C89" s="2" t="s">
        <v>412</v>
      </c>
      <c r="D89" s="2" t="s">
        <v>417</v>
      </c>
      <c r="E89" s="2" t="n">
        <v>34</v>
      </c>
      <c r="F89" s="2" t="n">
        <v>9</v>
      </c>
      <c r="G89" s="2" t="str">
        <f aca="false">IF(EXACT(A89,B89),"no","sí")</f>
        <v>no</v>
      </c>
    </row>
    <row r="90" customFormat="false" ht="15" hidden="false" customHeight="false" outlineLevel="0" collapsed="false">
      <c r="A90" s="2" t="s">
        <v>44</v>
      </c>
      <c r="B90" s="2" t="s">
        <v>44</v>
      </c>
      <c r="C90" s="2" t="s">
        <v>412</v>
      </c>
      <c r="D90" s="2" t="s">
        <v>414</v>
      </c>
      <c r="E90" s="2" t="n">
        <v>4</v>
      </c>
      <c r="F90" s="2" t="n">
        <v>4</v>
      </c>
      <c r="G90" s="2" t="str">
        <f aca="false">IF(EXACT(A90,B90),"no","sí")</f>
        <v>no</v>
      </c>
    </row>
    <row r="91" customFormat="false" ht="15" hidden="false" customHeight="false" outlineLevel="0" collapsed="false">
      <c r="A91" s="2" t="s">
        <v>376</v>
      </c>
      <c r="B91" s="2" t="s">
        <v>376</v>
      </c>
      <c r="C91" s="2" t="s">
        <v>412</v>
      </c>
      <c r="D91" s="2" t="s">
        <v>417</v>
      </c>
      <c r="E91" s="2" t="n">
        <v>14</v>
      </c>
      <c r="F91" s="2" t="n">
        <v>3</v>
      </c>
      <c r="G91" s="2" t="str">
        <f aca="false">IF(EXACT(A91,B91),"no","sí")</f>
        <v>no</v>
      </c>
    </row>
    <row r="92" customFormat="false" ht="15" hidden="false" customHeight="false" outlineLevel="0" collapsed="false">
      <c r="A92" s="2" t="s">
        <v>45</v>
      </c>
      <c r="B92" s="2" t="s">
        <v>45</v>
      </c>
      <c r="C92" s="2" t="s">
        <v>412</v>
      </c>
      <c r="D92" s="2" t="s">
        <v>414</v>
      </c>
      <c r="E92" s="2" t="n">
        <v>54</v>
      </c>
      <c r="F92" s="2" t="n">
        <v>10</v>
      </c>
      <c r="G92" s="2" t="str">
        <f aca="false">IF(EXACT(A92,B92),"no","sí")</f>
        <v>no</v>
      </c>
    </row>
    <row r="93" customFormat="false" ht="15" hidden="false" customHeight="false" outlineLevel="0" collapsed="false">
      <c r="A93" s="2" t="s">
        <v>426</v>
      </c>
      <c r="B93" s="2" t="s">
        <v>377</v>
      </c>
      <c r="C93" s="2" t="s">
        <v>415</v>
      </c>
      <c r="D93" s="2" t="s">
        <v>416</v>
      </c>
      <c r="E93" s="2" t="n">
        <v>1</v>
      </c>
      <c r="F93" s="2" t="n">
        <v>1</v>
      </c>
      <c r="G93" s="2" t="str">
        <f aca="false">IF(EXACT(A93,B93),"no","sí")</f>
        <v>sí</v>
      </c>
    </row>
    <row r="94" customFormat="false" ht="15" hidden="false" customHeight="false" outlineLevel="0" collapsed="false">
      <c r="A94" s="2" t="s">
        <v>378</v>
      </c>
      <c r="B94" s="2" t="s">
        <v>378</v>
      </c>
      <c r="C94" s="2" t="s">
        <v>412</v>
      </c>
      <c r="D94" s="2" t="s">
        <v>417</v>
      </c>
      <c r="E94" s="2" t="n">
        <v>49</v>
      </c>
      <c r="F94" s="2" t="n">
        <v>6</v>
      </c>
      <c r="G94" s="2" t="str">
        <f aca="false">IF(EXACT(A94,B94),"no","sí")</f>
        <v>no</v>
      </c>
    </row>
    <row r="95" customFormat="false" ht="15" hidden="false" customHeight="false" outlineLevel="0" collapsed="false">
      <c r="A95" s="2" t="s">
        <v>427</v>
      </c>
      <c r="B95" s="2" t="s">
        <v>46</v>
      </c>
      <c r="C95" s="2" t="s">
        <v>412</v>
      </c>
      <c r="D95" s="2" t="s">
        <v>413</v>
      </c>
      <c r="E95" s="2" t="n">
        <v>1</v>
      </c>
      <c r="F95" s="2" t="n">
        <v>1</v>
      </c>
      <c r="G95" s="2" t="str">
        <f aca="false">IF(EXACT(A95,B95),"no","sí")</f>
        <v>sí</v>
      </c>
    </row>
    <row r="96" customFormat="false" ht="15" hidden="false" customHeight="false" outlineLevel="0" collapsed="false">
      <c r="A96" s="2" t="s">
        <v>379</v>
      </c>
      <c r="B96" s="2" t="s">
        <v>379</v>
      </c>
      <c r="C96" s="2" t="s">
        <v>412</v>
      </c>
      <c r="D96" s="2" t="s">
        <v>417</v>
      </c>
      <c r="E96" s="2" t="n">
        <v>5</v>
      </c>
      <c r="F96" s="2" t="n">
        <v>1</v>
      </c>
      <c r="G96" s="2" t="str">
        <f aca="false">IF(EXACT(A96,B96),"no","sí")</f>
        <v>no</v>
      </c>
    </row>
    <row r="97" customFormat="false" ht="15" hidden="false" customHeight="false" outlineLevel="0" collapsed="false">
      <c r="A97" s="2" t="s">
        <v>47</v>
      </c>
      <c r="B97" s="2" t="s">
        <v>47</v>
      </c>
      <c r="C97" s="2" t="s">
        <v>412</v>
      </c>
      <c r="D97" s="2" t="s">
        <v>414</v>
      </c>
      <c r="E97" s="2" t="n">
        <v>16</v>
      </c>
      <c r="F97" s="2" t="n">
        <v>2</v>
      </c>
      <c r="G97" s="2" t="str">
        <f aca="false">IF(EXACT(A97,B97),"no","sí")</f>
        <v>no</v>
      </c>
    </row>
    <row r="98" customFormat="false" ht="15" hidden="false" customHeight="false" outlineLevel="0" collapsed="false">
      <c r="A98" s="2" t="s">
        <v>48</v>
      </c>
      <c r="B98" s="2" t="s">
        <v>48</v>
      </c>
      <c r="C98" s="2" t="s">
        <v>412</v>
      </c>
      <c r="D98" s="2" t="s">
        <v>414</v>
      </c>
      <c r="E98" s="2" t="n">
        <v>1</v>
      </c>
      <c r="F98" s="2" t="n">
        <v>1</v>
      </c>
      <c r="G98" s="2" t="str">
        <f aca="false">IF(EXACT(A98,B98),"no","sí")</f>
        <v>no</v>
      </c>
    </row>
    <row r="99" customFormat="false" ht="15" hidden="false" customHeight="false" outlineLevel="0" collapsed="false">
      <c r="A99" s="2" t="s">
        <v>428</v>
      </c>
      <c r="B99" s="2" t="s">
        <v>380</v>
      </c>
      <c r="C99" s="2" t="s">
        <v>412</v>
      </c>
      <c r="D99" s="2" t="s">
        <v>417</v>
      </c>
      <c r="E99" s="2" t="n">
        <v>1</v>
      </c>
      <c r="F99" s="2" t="n">
        <v>1</v>
      </c>
      <c r="G99" s="2" t="str">
        <f aca="false">IF(EXACT(A99,B99),"no","sí")</f>
        <v>sí</v>
      </c>
    </row>
    <row r="100" customFormat="false" ht="15" hidden="false" customHeight="false" outlineLevel="0" collapsed="false">
      <c r="A100" s="2" t="s">
        <v>381</v>
      </c>
      <c r="B100" s="2" t="s">
        <v>381</v>
      </c>
      <c r="C100" s="2" t="s">
        <v>412</v>
      </c>
      <c r="D100" s="2" t="s">
        <v>417</v>
      </c>
      <c r="E100" s="2" t="n">
        <v>8</v>
      </c>
      <c r="F100" s="2" t="n">
        <v>2</v>
      </c>
      <c r="G100" s="2" t="str">
        <f aca="false">IF(EXACT(A100,B100),"no","sí")</f>
        <v>no</v>
      </c>
    </row>
    <row r="101" customFormat="false" ht="15" hidden="false" customHeight="false" outlineLevel="0" collapsed="false">
      <c r="A101" s="2" t="s">
        <v>49</v>
      </c>
      <c r="B101" s="2" t="s">
        <v>49</v>
      </c>
      <c r="C101" s="2" t="s">
        <v>412</v>
      </c>
      <c r="D101" s="2" t="s">
        <v>414</v>
      </c>
      <c r="E101" s="2" t="n">
        <v>1</v>
      </c>
      <c r="F101" s="2" t="n">
        <v>1</v>
      </c>
      <c r="G101" s="2" t="str">
        <f aca="false">IF(EXACT(A101,B101),"no","sí")</f>
        <v>no</v>
      </c>
    </row>
    <row r="102" customFormat="false" ht="15" hidden="false" customHeight="false" outlineLevel="0" collapsed="false">
      <c r="A102" s="2" t="s">
        <v>50</v>
      </c>
      <c r="B102" s="2" t="s">
        <v>50</v>
      </c>
      <c r="C102" s="2" t="s">
        <v>412</v>
      </c>
      <c r="D102" s="2" t="s">
        <v>414</v>
      </c>
      <c r="E102" s="2" t="n">
        <v>379</v>
      </c>
      <c r="F102" s="2" t="n">
        <v>13</v>
      </c>
      <c r="G102" s="2" t="str">
        <f aca="false">IF(EXACT(A102,B102),"no","sí")</f>
        <v>no</v>
      </c>
    </row>
    <row r="103" customFormat="false" ht="15" hidden="false" customHeight="false" outlineLevel="0" collapsed="false">
      <c r="A103" s="2" t="s">
        <v>51</v>
      </c>
      <c r="B103" s="2" t="s">
        <v>51</v>
      </c>
      <c r="C103" s="2" t="s">
        <v>412</v>
      </c>
      <c r="D103" s="2" t="s">
        <v>414</v>
      </c>
      <c r="E103" s="2" t="n">
        <v>1</v>
      </c>
      <c r="F103" s="2" t="n">
        <v>1</v>
      </c>
      <c r="G103" s="2" t="str">
        <f aca="false">IF(EXACT(A103,B103),"no","sí")</f>
        <v>no</v>
      </c>
    </row>
    <row r="104" customFormat="false" ht="15" hidden="false" customHeight="false" outlineLevel="0" collapsed="false">
      <c r="A104" s="2" t="s">
        <v>382</v>
      </c>
      <c r="B104" s="2" t="s">
        <v>382</v>
      </c>
      <c r="C104" s="2" t="s">
        <v>415</v>
      </c>
      <c r="D104" s="2" t="s">
        <v>416</v>
      </c>
      <c r="E104" s="2" t="n">
        <v>17</v>
      </c>
      <c r="F104" s="2" t="n">
        <v>1</v>
      </c>
      <c r="G104" s="2" t="str">
        <f aca="false">IF(EXACT(A104,B104),"no","sí")</f>
        <v>no</v>
      </c>
    </row>
    <row r="105" customFormat="false" ht="15" hidden="false" customHeight="false" outlineLevel="0" collapsed="false">
      <c r="A105" s="2" t="s">
        <v>52</v>
      </c>
      <c r="B105" s="2" t="s">
        <v>52</v>
      </c>
      <c r="C105" s="2" t="s">
        <v>412</v>
      </c>
      <c r="D105" s="2" t="s">
        <v>414</v>
      </c>
      <c r="E105" s="2" t="n">
        <v>1</v>
      </c>
      <c r="F105" s="2" t="n">
        <v>1</v>
      </c>
      <c r="G105" s="2" t="str">
        <f aca="false">IF(EXACT(A105,B105),"no","sí")</f>
        <v>no</v>
      </c>
    </row>
    <row r="106" customFormat="false" ht="15" hidden="false" customHeight="false" outlineLevel="0" collapsed="false">
      <c r="A106" s="2" t="s">
        <v>53</v>
      </c>
      <c r="B106" s="2" t="s">
        <v>53</v>
      </c>
      <c r="C106" s="2" t="s">
        <v>412</v>
      </c>
      <c r="D106" s="2" t="s">
        <v>414</v>
      </c>
      <c r="E106" s="2" t="n">
        <v>5</v>
      </c>
      <c r="F106" s="2" t="n">
        <v>3</v>
      </c>
      <c r="G106" s="2" t="str">
        <f aca="false">IF(EXACT(A106,B106),"no","sí")</f>
        <v>no</v>
      </c>
    </row>
    <row r="107" customFormat="false" ht="15" hidden="false" customHeight="false" outlineLevel="0" collapsed="false">
      <c r="A107" s="2" t="s">
        <v>54</v>
      </c>
      <c r="B107" s="2" t="s">
        <v>54</v>
      </c>
      <c r="C107" s="2" t="s">
        <v>412</v>
      </c>
      <c r="D107" s="2" t="s">
        <v>414</v>
      </c>
      <c r="E107" s="2" t="n">
        <v>36</v>
      </c>
      <c r="F107" s="2" t="n">
        <v>7</v>
      </c>
      <c r="G107" s="2" t="str">
        <f aca="false">IF(EXACT(A107,B107),"no","sí")</f>
        <v>no</v>
      </c>
    </row>
    <row r="108" customFormat="false" ht="15" hidden="false" customHeight="false" outlineLevel="0" collapsed="false">
      <c r="A108" s="2" t="s">
        <v>55</v>
      </c>
      <c r="B108" s="2" t="s">
        <v>55</v>
      </c>
      <c r="C108" s="2" t="s">
        <v>412</v>
      </c>
      <c r="D108" s="2" t="s">
        <v>414</v>
      </c>
      <c r="E108" s="2" t="n">
        <v>2</v>
      </c>
      <c r="F108" s="2" t="n">
        <v>2</v>
      </c>
      <c r="G108" s="2" t="str">
        <f aca="false">IF(EXACT(A108,B108),"no","sí")</f>
        <v>no</v>
      </c>
    </row>
    <row r="109" customFormat="false" ht="15" hidden="false" customHeight="false" outlineLevel="0" collapsed="false">
      <c r="A109" s="2" t="s">
        <v>383</v>
      </c>
      <c r="B109" s="2" t="s">
        <v>383</v>
      </c>
      <c r="C109" s="2" t="s">
        <v>415</v>
      </c>
      <c r="D109" s="2" t="s">
        <v>416</v>
      </c>
      <c r="E109" s="2" t="n">
        <v>1</v>
      </c>
      <c r="F109" s="2" t="n">
        <v>1</v>
      </c>
      <c r="G109" s="2" t="str">
        <f aca="false">IF(EXACT(A109,B109),"no","sí")</f>
        <v>no</v>
      </c>
    </row>
    <row r="110" customFormat="false" ht="15" hidden="false" customHeight="false" outlineLevel="0" collapsed="false">
      <c r="A110" s="2" t="s">
        <v>384</v>
      </c>
      <c r="B110" s="2" t="s">
        <v>384</v>
      </c>
      <c r="C110" s="2" t="s">
        <v>412</v>
      </c>
      <c r="D110" s="2" t="s">
        <v>417</v>
      </c>
      <c r="E110" s="2" t="n">
        <v>26</v>
      </c>
      <c r="F110" s="2" t="n">
        <v>3</v>
      </c>
      <c r="G110" s="2" t="str">
        <f aca="false">IF(EXACT(A110,B110),"no","sí")</f>
        <v>no</v>
      </c>
    </row>
    <row r="111" customFormat="false" ht="15" hidden="false" customHeight="false" outlineLevel="0" collapsed="false">
      <c r="A111" s="2" t="s">
        <v>56</v>
      </c>
      <c r="B111" s="2" t="s">
        <v>56</v>
      </c>
      <c r="C111" s="2" t="s">
        <v>412</v>
      </c>
      <c r="D111" s="2" t="s">
        <v>414</v>
      </c>
      <c r="E111" s="2" t="n">
        <v>21</v>
      </c>
      <c r="F111" s="2" t="n">
        <v>2</v>
      </c>
      <c r="G111" s="2" t="str">
        <f aca="false">IF(EXACT(A111,B111),"no","sí")</f>
        <v>no</v>
      </c>
    </row>
    <row r="112" customFormat="false" ht="15" hidden="false" customHeight="false" outlineLevel="0" collapsed="false">
      <c r="A112" s="2" t="s">
        <v>57</v>
      </c>
      <c r="B112" s="2" t="s">
        <v>57</v>
      </c>
      <c r="C112" s="2" t="s">
        <v>412</v>
      </c>
      <c r="D112" s="2" t="s">
        <v>414</v>
      </c>
      <c r="E112" s="2" t="n">
        <v>220</v>
      </c>
      <c r="F112" s="2" t="n">
        <v>13</v>
      </c>
      <c r="G112" s="2" t="str">
        <f aca="false">IF(EXACT(A112,B112),"no","sí")</f>
        <v>no</v>
      </c>
    </row>
    <row r="113" customFormat="false" ht="15" hidden="false" customHeight="false" outlineLevel="0" collapsed="false">
      <c r="A113" s="2" t="s">
        <v>58</v>
      </c>
      <c r="B113" s="2" t="s">
        <v>58</v>
      </c>
      <c r="C113" s="2" t="s">
        <v>412</v>
      </c>
      <c r="D113" s="2" t="s">
        <v>414</v>
      </c>
      <c r="E113" s="2" t="n">
        <v>30</v>
      </c>
      <c r="F113" s="2" t="n">
        <v>4</v>
      </c>
      <c r="G113" s="2" t="str">
        <f aca="false">IF(EXACT(A113,B113),"no","sí")</f>
        <v>no</v>
      </c>
    </row>
    <row r="114" customFormat="false" ht="15" hidden="false" customHeight="false" outlineLevel="0" collapsed="false">
      <c r="A114" s="2" t="s">
        <v>59</v>
      </c>
      <c r="B114" s="2" t="s">
        <v>59</v>
      </c>
      <c r="C114" s="2" t="s">
        <v>412</v>
      </c>
      <c r="D114" s="2" t="s">
        <v>414</v>
      </c>
      <c r="E114" s="2" t="n">
        <v>7</v>
      </c>
      <c r="F114" s="2" t="n">
        <v>1</v>
      </c>
      <c r="G114" s="2" t="str">
        <f aca="false">IF(EXACT(A114,B114),"no","sí")</f>
        <v>no</v>
      </c>
    </row>
    <row r="115" customFormat="false" ht="15" hidden="false" customHeight="false" outlineLevel="0" collapsed="false">
      <c r="A115" s="2" t="s">
        <v>60</v>
      </c>
      <c r="B115" s="2" t="s">
        <v>60</v>
      </c>
      <c r="C115" s="2" t="s">
        <v>412</v>
      </c>
      <c r="D115" s="2" t="s">
        <v>414</v>
      </c>
      <c r="E115" s="2" t="n">
        <v>4</v>
      </c>
      <c r="F115" s="2" t="n">
        <v>1</v>
      </c>
      <c r="G115" s="2" t="str">
        <f aca="false">IF(EXACT(A115,B115),"no","sí")</f>
        <v>no</v>
      </c>
    </row>
    <row r="116" customFormat="false" ht="15" hidden="false" customHeight="false" outlineLevel="0" collapsed="false">
      <c r="A116" s="2" t="s">
        <v>385</v>
      </c>
      <c r="B116" s="2" t="s">
        <v>385</v>
      </c>
      <c r="C116" s="2" t="s">
        <v>412</v>
      </c>
      <c r="D116" s="2" t="s">
        <v>417</v>
      </c>
      <c r="E116" s="2" t="n">
        <v>117</v>
      </c>
      <c r="F116" s="2" t="n">
        <v>8</v>
      </c>
      <c r="G116" s="2" t="str">
        <f aca="false">IF(EXACT(A116,B116),"no","sí")</f>
        <v>no</v>
      </c>
    </row>
    <row r="117" customFormat="false" ht="15" hidden="false" customHeight="false" outlineLevel="0" collapsed="false">
      <c r="A117" s="2" t="s">
        <v>61</v>
      </c>
      <c r="B117" s="2" t="s">
        <v>61</v>
      </c>
      <c r="C117" s="2" t="s">
        <v>412</v>
      </c>
      <c r="D117" s="2" t="s">
        <v>414</v>
      </c>
      <c r="E117" s="2" t="n">
        <v>1</v>
      </c>
      <c r="F117" s="2" t="n">
        <v>1</v>
      </c>
      <c r="G117" s="2" t="str">
        <f aca="false">IF(EXACT(A117,B117),"no","sí")</f>
        <v>no</v>
      </c>
    </row>
    <row r="118" customFormat="false" ht="15" hidden="false" customHeight="false" outlineLevel="0" collapsed="false">
      <c r="A118" s="2" t="s">
        <v>62</v>
      </c>
      <c r="B118" s="2" t="s">
        <v>62</v>
      </c>
      <c r="C118" s="2" t="s">
        <v>412</v>
      </c>
      <c r="D118" s="2" t="s">
        <v>414</v>
      </c>
      <c r="E118" s="2" t="n">
        <v>21</v>
      </c>
      <c r="F118" s="2" t="n">
        <v>3</v>
      </c>
      <c r="G118" s="2" t="str">
        <f aca="false">IF(EXACT(A118,B118),"no","sí")</f>
        <v>no</v>
      </c>
    </row>
    <row r="119" customFormat="false" ht="15" hidden="false" customHeight="false" outlineLevel="0" collapsed="false">
      <c r="A119" s="2" t="s">
        <v>386</v>
      </c>
      <c r="B119" s="2" t="s">
        <v>386</v>
      </c>
      <c r="C119" s="2" t="s">
        <v>412</v>
      </c>
      <c r="D119" s="2" t="s">
        <v>417</v>
      </c>
      <c r="E119" s="2" t="n">
        <v>1</v>
      </c>
      <c r="F119" s="2" t="n">
        <v>1</v>
      </c>
      <c r="G119" s="2" t="str">
        <f aca="false">IF(EXACT(A119,B119),"no","sí")</f>
        <v>no</v>
      </c>
    </row>
    <row r="120" customFormat="false" ht="15" hidden="false" customHeight="false" outlineLevel="0" collapsed="false">
      <c r="A120" s="2" t="s">
        <v>387</v>
      </c>
      <c r="B120" s="2" t="s">
        <v>387</v>
      </c>
      <c r="C120" s="2" t="s">
        <v>415</v>
      </c>
      <c r="D120" s="2" t="s">
        <v>416</v>
      </c>
      <c r="E120" s="2" t="n">
        <v>1</v>
      </c>
      <c r="F120" s="2" t="n">
        <v>1</v>
      </c>
      <c r="G120" s="2" t="str">
        <f aca="false">IF(EXACT(A120,B120),"no","sí")</f>
        <v>no</v>
      </c>
    </row>
    <row r="121" customFormat="false" ht="15" hidden="false" customHeight="false" outlineLevel="0" collapsed="false">
      <c r="A121" s="2" t="s">
        <v>63</v>
      </c>
      <c r="B121" s="2" t="s">
        <v>63</v>
      </c>
      <c r="C121" s="2" t="s">
        <v>412</v>
      </c>
      <c r="D121" s="2" t="s">
        <v>414</v>
      </c>
      <c r="E121" s="2" t="n">
        <v>3</v>
      </c>
      <c r="F121" s="2" t="n">
        <v>2</v>
      </c>
      <c r="G121" s="2" t="str">
        <f aca="false">IF(EXACT(A121,B121),"no","sí")</f>
        <v>no</v>
      </c>
    </row>
    <row r="122" customFormat="false" ht="15" hidden="false" customHeight="false" outlineLevel="0" collapsed="false">
      <c r="A122" s="2" t="s">
        <v>64</v>
      </c>
      <c r="B122" s="2" t="s">
        <v>64</v>
      </c>
      <c r="C122" s="2" t="s">
        <v>412</v>
      </c>
      <c r="D122" s="2" t="s">
        <v>414</v>
      </c>
      <c r="E122" s="2" t="n">
        <v>1</v>
      </c>
      <c r="F122" s="2" t="n">
        <v>1</v>
      </c>
      <c r="G122" s="2" t="str">
        <f aca="false">IF(EXACT(A122,B122),"no","sí")</f>
        <v>no</v>
      </c>
    </row>
    <row r="123" customFormat="false" ht="15" hidden="false" customHeight="false" outlineLevel="0" collapsed="false">
      <c r="A123" s="2" t="s">
        <v>388</v>
      </c>
      <c r="B123" s="2" t="s">
        <v>388</v>
      </c>
      <c r="C123" s="2" t="s">
        <v>412</v>
      </c>
      <c r="D123" s="2" t="s">
        <v>417</v>
      </c>
      <c r="E123" s="2" t="n">
        <v>5</v>
      </c>
      <c r="F123" s="2" t="n">
        <v>2</v>
      </c>
      <c r="G123" s="2" t="str">
        <f aca="false">IF(EXACT(A123,B123),"no","sí")</f>
        <v>no</v>
      </c>
    </row>
    <row r="124" customFormat="false" ht="15" hidden="false" customHeight="false" outlineLevel="0" collapsed="false">
      <c r="A124" s="2" t="s">
        <v>389</v>
      </c>
      <c r="B124" s="2" t="s">
        <v>389</v>
      </c>
      <c r="C124" s="2" t="s">
        <v>415</v>
      </c>
      <c r="D124" s="2" t="s">
        <v>416</v>
      </c>
      <c r="E124" s="2" t="n">
        <v>32</v>
      </c>
      <c r="F124" s="2" t="n">
        <v>1</v>
      </c>
      <c r="G124" s="2" t="str">
        <f aca="false">IF(EXACT(A124,B124),"no","sí")</f>
        <v>no</v>
      </c>
    </row>
    <row r="125" customFormat="false" ht="15" hidden="false" customHeight="false" outlineLevel="0" collapsed="false">
      <c r="A125" s="2" t="s">
        <v>65</v>
      </c>
      <c r="B125" s="2" t="s">
        <v>65</v>
      </c>
      <c r="C125" s="2" t="s">
        <v>412</v>
      </c>
      <c r="D125" s="2" t="s">
        <v>414</v>
      </c>
      <c r="E125" s="2" t="n">
        <v>9</v>
      </c>
      <c r="F125" s="2" t="n">
        <v>4</v>
      </c>
      <c r="G125" s="2" t="str">
        <f aca="false">IF(EXACT(A125,B125),"no","sí")</f>
        <v>no</v>
      </c>
    </row>
    <row r="126" customFormat="false" ht="15" hidden="false" customHeight="false" outlineLevel="0" collapsed="false">
      <c r="A126" s="2" t="s">
        <v>390</v>
      </c>
      <c r="B126" s="2" t="s">
        <v>390</v>
      </c>
      <c r="C126" s="2" t="s">
        <v>412</v>
      </c>
      <c r="D126" s="2" t="s">
        <v>417</v>
      </c>
      <c r="E126" s="2" t="n">
        <v>169</v>
      </c>
      <c r="F126" s="2" t="n">
        <v>18</v>
      </c>
      <c r="G126" s="2" t="str">
        <f aca="false">IF(EXACT(A126,B126),"no","sí")</f>
        <v>no</v>
      </c>
    </row>
    <row r="127" customFormat="false" ht="15" hidden="false" customHeight="false" outlineLevel="0" collapsed="false">
      <c r="A127" s="2" t="s">
        <v>66</v>
      </c>
      <c r="B127" s="2" t="s">
        <v>66</v>
      </c>
      <c r="C127" s="2" t="s">
        <v>412</v>
      </c>
      <c r="D127" s="2" t="s">
        <v>414</v>
      </c>
      <c r="E127" s="2" t="n">
        <v>47</v>
      </c>
      <c r="F127" s="2" t="n">
        <v>7</v>
      </c>
      <c r="G127" s="2" t="str">
        <f aca="false">IF(EXACT(A127,B127),"no","sí")</f>
        <v>no</v>
      </c>
    </row>
    <row r="128" customFormat="false" ht="15" hidden="false" customHeight="false" outlineLevel="0" collapsed="false">
      <c r="A128" s="2" t="s">
        <v>67</v>
      </c>
      <c r="B128" s="2" t="s">
        <v>67</v>
      </c>
      <c r="C128" s="2" t="s">
        <v>412</v>
      </c>
      <c r="D128" s="2" t="s">
        <v>414</v>
      </c>
      <c r="E128" s="2" t="n">
        <v>18</v>
      </c>
      <c r="F128" s="2" t="n">
        <v>4</v>
      </c>
      <c r="G128" s="2" t="str">
        <f aca="false">IF(EXACT(A128,B128),"no","sí")</f>
        <v>no</v>
      </c>
    </row>
    <row r="129" customFormat="false" ht="15" hidden="false" customHeight="false" outlineLevel="0" collapsed="false">
      <c r="A129" s="2" t="s">
        <v>391</v>
      </c>
      <c r="B129" s="2" t="s">
        <v>391</v>
      </c>
      <c r="C129" s="2" t="s">
        <v>412</v>
      </c>
      <c r="D129" s="2" t="s">
        <v>417</v>
      </c>
      <c r="E129" s="2" t="n">
        <v>25</v>
      </c>
      <c r="F129" s="2" t="n">
        <v>3</v>
      </c>
      <c r="G129" s="2" t="str">
        <f aca="false">IF(EXACT(A129,B129),"no","sí")</f>
        <v>no</v>
      </c>
    </row>
    <row r="130" customFormat="false" ht="15" hidden="false" customHeight="false" outlineLevel="0" collapsed="false">
      <c r="A130" s="2" t="s">
        <v>68</v>
      </c>
      <c r="B130" s="2" t="s">
        <v>68</v>
      </c>
      <c r="C130" s="2" t="s">
        <v>412</v>
      </c>
      <c r="D130" s="2" t="s">
        <v>414</v>
      </c>
      <c r="E130" s="2" t="n">
        <v>2</v>
      </c>
      <c r="F130" s="2" t="n">
        <v>1</v>
      </c>
      <c r="G130" s="2" t="str">
        <f aca="false">IF(EXACT(A130,B130),"no","sí")</f>
        <v>no</v>
      </c>
    </row>
    <row r="131" customFormat="false" ht="15" hidden="false" customHeight="false" outlineLevel="0" collapsed="false">
      <c r="A131" s="2" t="s">
        <v>392</v>
      </c>
      <c r="B131" s="2" t="s">
        <v>392</v>
      </c>
      <c r="C131" s="2" t="s">
        <v>412</v>
      </c>
      <c r="D131" s="2" t="s">
        <v>417</v>
      </c>
      <c r="E131" s="2" t="n">
        <v>1</v>
      </c>
      <c r="F131" s="2" t="n">
        <v>1</v>
      </c>
      <c r="G131" s="2" t="str">
        <f aca="false">IF(EXACT(A131,B131),"no","sí")</f>
        <v>no</v>
      </c>
    </row>
    <row r="132" customFormat="false" ht="15" hidden="false" customHeight="false" outlineLevel="0" collapsed="false">
      <c r="A132" s="2" t="s">
        <v>393</v>
      </c>
      <c r="B132" s="2" t="s">
        <v>393</v>
      </c>
      <c r="C132" s="2" t="s">
        <v>412</v>
      </c>
      <c r="D132" s="2" t="s">
        <v>417</v>
      </c>
      <c r="E132" s="2" t="n">
        <v>3</v>
      </c>
      <c r="F132" s="2" t="n">
        <v>2</v>
      </c>
      <c r="G132" s="2" t="str">
        <f aca="false">IF(EXACT(A132,B132),"no","sí")</f>
        <v>no</v>
      </c>
    </row>
    <row r="133" customFormat="false" ht="15" hidden="false" customHeight="false" outlineLevel="0" collapsed="false">
      <c r="A133" s="2" t="s">
        <v>394</v>
      </c>
      <c r="B133" s="2" t="s">
        <v>394</v>
      </c>
      <c r="C133" s="2" t="s">
        <v>412</v>
      </c>
      <c r="D133" s="2" t="s">
        <v>417</v>
      </c>
      <c r="E133" s="2" t="n">
        <v>3</v>
      </c>
      <c r="F133" s="2" t="n">
        <v>3</v>
      </c>
      <c r="G133" s="2" t="str">
        <f aca="false">IF(EXACT(A133,B133),"no","sí")</f>
        <v>no</v>
      </c>
    </row>
    <row r="134" customFormat="false" ht="15" hidden="false" customHeight="false" outlineLevel="0" collapsed="false">
      <c r="A134" s="2" t="s">
        <v>395</v>
      </c>
      <c r="B134" s="2" t="s">
        <v>395</v>
      </c>
      <c r="C134" s="2" t="s">
        <v>412</v>
      </c>
      <c r="D134" s="2" t="s">
        <v>417</v>
      </c>
      <c r="E134" s="2" t="n">
        <v>1</v>
      </c>
      <c r="F134" s="2" t="n">
        <v>1</v>
      </c>
      <c r="G134" s="2" t="str">
        <f aca="false">IF(EXACT(A134,B134),"no","sí")</f>
        <v>no</v>
      </c>
    </row>
    <row r="135" customFormat="false" ht="15" hidden="false" customHeight="false" outlineLevel="0" collapsed="false">
      <c r="A135" s="2" t="s">
        <v>396</v>
      </c>
      <c r="B135" s="2" t="s">
        <v>396</v>
      </c>
      <c r="C135" s="2" t="s">
        <v>415</v>
      </c>
      <c r="D135" s="2" t="s">
        <v>416</v>
      </c>
      <c r="E135" s="2" t="n">
        <v>2</v>
      </c>
      <c r="F135" s="2" t="n">
        <v>2</v>
      </c>
      <c r="G135" s="2" t="str">
        <f aca="false">IF(EXACT(A135,B135),"no","sí")</f>
        <v>no</v>
      </c>
    </row>
    <row r="136" customFormat="false" ht="15" hidden="false" customHeight="false" outlineLevel="0" collapsed="false">
      <c r="A136" s="2" t="s">
        <v>397</v>
      </c>
      <c r="B136" s="2" t="s">
        <v>397</v>
      </c>
      <c r="C136" s="2" t="s">
        <v>412</v>
      </c>
      <c r="D136" s="2" t="s">
        <v>417</v>
      </c>
      <c r="E136" s="2" t="n">
        <v>7</v>
      </c>
      <c r="F136" s="2" t="n">
        <v>3</v>
      </c>
      <c r="G136" s="2" t="str">
        <f aca="false">IF(EXACT(A136,B136),"no","sí")</f>
        <v>no</v>
      </c>
    </row>
    <row r="137" customFormat="false" ht="15" hidden="false" customHeight="false" outlineLevel="0" collapsed="false">
      <c r="A137" s="2" t="s">
        <v>398</v>
      </c>
      <c r="B137" s="2" t="s">
        <v>398</v>
      </c>
      <c r="C137" s="2" t="s">
        <v>412</v>
      </c>
      <c r="D137" s="2" t="s">
        <v>417</v>
      </c>
      <c r="E137" s="2" t="n">
        <v>3</v>
      </c>
      <c r="F137" s="2" t="n">
        <v>2</v>
      </c>
      <c r="G137" s="2" t="str">
        <f aca="false">IF(EXACT(A137,B137),"no","sí")</f>
        <v>no</v>
      </c>
    </row>
    <row r="138" customFormat="false" ht="15" hidden="false" customHeight="false" outlineLevel="0" collapsed="false">
      <c r="A138" s="2" t="s">
        <v>429</v>
      </c>
      <c r="B138" s="2" t="s">
        <v>399</v>
      </c>
      <c r="C138" s="2" t="s">
        <v>412</v>
      </c>
      <c r="D138" s="2" t="s">
        <v>417</v>
      </c>
      <c r="E138" s="2" t="n">
        <v>3</v>
      </c>
      <c r="F138" s="2" t="n">
        <v>1</v>
      </c>
      <c r="G138" s="2" t="str">
        <f aca="false">IF(EXACT(A138,B138),"no","sí")</f>
        <v>sí</v>
      </c>
    </row>
    <row r="139" customFormat="false" ht="15" hidden="false" customHeight="false" outlineLevel="0" collapsed="false">
      <c r="A139" s="2" t="s">
        <v>69</v>
      </c>
      <c r="B139" s="2" t="s">
        <v>69</v>
      </c>
      <c r="C139" s="2" t="s">
        <v>412</v>
      </c>
      <c r="D139" s="2" t="s">
        <v>414</v>
      </c>
      <c r="E139" s="2" t="n">
        <v>6</v>
      </c>
      <c r="F139" s="2" t="n">
        <v>2</v>
      </c>
      <c r="G139" s="2" t="str">
        <f aca="false">IF(EXACT(A139,B139),"no","sí")</f>
        <v>no</v>
      </c>
    </row>
    <row r="140" customFormat="false" ht="15" hidden="false" customHeight="false" outlineLevel="0" collapsed="false">
      <c r="A140" s="2" t="s">
        <v>70</v>
      </c>
      <c r="B140" s="2" t="s">
        <v>70</v>
      </c>
      <c r="C140" s="2" t="s">
        <v>412</v>
      </c>
      <c r="D140" s="2" t="s">
        <v>414</v>
      </c>
      <c r="E140" s="2" t="n">
        <v>1</v>
      </c>
      <c r="F140" s="2" t="n">
        <v>1</v>
      </c>
      <c r="G140" s="2" t="str">
        <f aca="false">IF(EXACT(A140,B140),"no","sí")</f>
        <v>no</v>
      </c>
    </row>
    <row r="141" customFormat="false" ht="15" hidden="false" customHeight="false" outlineLevel="0" collapsed="false">
      <c r="A141" s="2" t="s">
        <v>71</v>
      </c>
      <c r="B141" s="2" t="s">
        <v>71</v>
      </c>
      <c r="C141" s="2" t="s">
        <v>412</v>
      </c>
      <c r="D141" s="2" t="s">
        <v>414</v>
      </c>
      <c r="E141" s="2" t="n">
        <v>90</v>
      </c>
      <c r="F141" s="2" t="n">
        <v>16</v>
      </c>
      <c r="G141" s="2" t="str">
        <f aca="false">IF(EXACT(A141,B141),"no","sí")</f>
        <v>no</v>
      </c>
    </row>
    <row r="142" customFormat="false" ht="15" hidden="false" customHeight="false" outlineLevel="0" collapsed="false">
      <c r="A142" s="2" t="s">
        <v>72</v>
      </c>
      <c r="B142" s="2" t="s">
        <v>72</v>
      </c>
      <c r="C142" s="2" t="s">
        <v>412</v>
      </c>
      <c r="D142" s="2" t="s">
        <v>414</v>
      </c>
      <c r="E142" s="2" t="n">
        <v>2</v>
      </c>
      <c r="F142" s="2" t="n">
        <v>1</v>
      </c>
      <c r="G142" s="2" t="str">
        <f aca="false">IF(EXACT(A142,B142),"no","sí")</f>
        <v>no</v>
      </c>
    </row>
    <row r="143" customFormat="false" ht="15" hidden="false" customHeight="false" outlineLevel="0" collapsed="false">
      <c r="A143" s="2" t="s">
        <v>73</v>
      </c>
      <c r="B143" s="2" t="s">
        <v>73</v>
      </c>
      <c r="C143" s="2" t="s">
        <v>412</v>
      </c>
      <c r="D143" s="2" t="s">
        <v>414</v>
      </c>
      <c r="E143" s="2" t="n">
        <v>3</v>
      </c>
      <c r="F143" s="2" t="n">
        <v>2</v>
      </c>
      <c r="G143" s="2" t="str">
        <f aca="false">IF(EXACT(A143,B143),"no","sí")</f>
        <v>no</v>
      </c>
    </row>
    <row r="144" customFormat="false" ht="15" hidden="false" customHeight="false" outlineLevel="0" collapsed="false">
      <c r="A144" s="2" t="s">
        <v>74</v>
      </c>
      <c r="B144" s="2" t="s">
        <v>74</v>
      </c>
      <c r="C144" s="2" t="s">
        <v>412</v>
      </c>
      <c r="D144" s="2" t="s">
        <v>414</v>
      </c>
      <c r="E144" s="2" t="n">
        <v>42</v>
      </c>
      <c r="F144" s="2" t="n">
        <v>2</v>
      </c>
      <c r="G144" s="2" t="str">
        <f aca="false">IF(EXACT(A144,B144),"no","sí")</f>
        <v>no</v>
      </c>
    </row>
    <row r="145" customFormat="false" ht="15" hidden="false" customHeight="false" outlineLevel="0" collapsed="false">
      <c r="A145" s="2" t="s">
        <v>75</v>
      </c>
      <c r="B145" s="2" t="s">
        <v>75</v>
      </c>
      <c r="C145" s="2" t="s">
        <v>412</v>
      </c>
      <c r="D145" s="2" t="s">
        <v>414</v>
      </c>
      <c r="E145" s="2" t="n">
        <v>6</v>
      </c>
      <c r="F145" s="2" t="n">
        <v>2</v>
      </c>
      <c r="G145" s="2" t="str">
        <f aca="false">IF(EXACT(A145,B145),"no","sí")</f>
        <v>no</v>
      </c>
    </row>
    <row r="146" customFormat="false" ht="15" hidden="false" customHeight="false" outlineLevel="0" collapsed="false">
      <c r="A146" s="2" t="s">
        <v>400</v>
      </c>
      <c r="B146" s="2" t="s">
        <v>400</v>
      </c>
      <c r="C146" s="2" t="s">
        <v>412</v>
      </c>
      <c r="D146" s="2" t="s">
        <v>417</v>
      </c>
      <c r="E146" s="2" t="n">
        <v>14</v>
      </c>
      <c r="F146" s="2" t="n">
        <v>1</v>
      </c>
      <c r="G146" s="2" t="str">
        <f aca="false">IF(EXACT(A146,B146),"no","sí")</f>
        <v>no</v>
      </c>
    </row>
    <row r="147" customFormat="false" ht="15" hidden="false" customHeight="false" outlineLevel="0" collapsed="false">
      <c r="A147" s="2" t="s">
        <v>401</v>
      </c>
      <c r="B147" s="2" t="s">
        <v>401</v>
      </c>
      <c r="C147" s="2" t="s">
        <v>412</v>
      </c>
      <c r="D147" s="2" t="s">
        <v>417</v>
      </c>
      <c r="E147" s="2" t="n">
        <v>11</v>
      </c>
      <c r="F147" s="2" t="n">
        <v>3</v>
      </c>
      <c r="G147" s="2" t="str">
        <f aca="false">IF(EXACT(A147,B147),"no","sí")</f>
        <v>no</v>
      </c>
    </row>
    <row r="148" customFormat="false" ht="15" hidden="false" customHeight="false" outlineLevel="0" collapsed="false">
      <c r="A148" s="2" t="s">
        <v>76</v>
      </c>
      <c r="B148" s="2" t="s">
        <v>76</v>
      </c>
      <c r="C148" s="2" t="s">
        <v>412</v>
      </c>
      <c r="D148" s="2" t="s">
        <v>414</v>
      </c>
      <c r="E148" s="2" t="n">
        <v>244</v>
      </c>
      <c r="F148" s="2" t="n">
        <v>12</v>
      </c>
      <c r="G148" s="2" t="str">
        <f aca="false">IF(EXACT(A148,B148),"no","sí")</f>
        <v>no</v>
      </c>
    </row>
    <row r="149" customFormat="false" ht="15" hidden="false" customHeight="false" outlineLevel="0" collapsed="false">
      <c r="A149" s="2" t="s">
        <v>402</v>
      </c>
      <c r="B149" s="2" t="s">
        <v>402</v>
      </c>
      <c r="C149" s="2" t="s">
        <v>412</v>
      </c>
      <c r="D149" s="2" t="s">
        <v>417</v>
      </c>
      <c r="E149" s="2" t="n">
        <v>2</v>
      </c>
      <c r="F149" s="2" t="n">
        <v>1</v>
      </c>
      <c r="G149" s="2" t="str">
        <f aca="false">IF(EXACT(A149,B149),"no","sí")</f>
        <v>no</v>
      </c>
    </row>
    <row r="150" customFormat="false" ht="15" hidden="false" customHeight="false" outlineLevel="0" collapsed="false">
      <c r="A150" s="2" t="s">
        <v>403</v>
      </c>
      <c r="B150" s="2" t="s">
        <v>403</v>
      </c>
      <c r="C150" s="2" t="s">
        <v>412</v>
      </c>
      <c r="D150" s="2" t="s">
        <v>417</v>
      </c>
      <c r="E150" s="2" t="n">
        <v>1</v>
      </c>
      <c r="F150" s="2" t="n">
        <v>1</v>
      </c>
      <c r="G150" s="2" t="str">
        <f aca="false">IF(EXACT(A150,B150),"no","sí")</f>
        <v>no</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2"/>
    <col collapsed="false" customWidth="true" hidden="false" outlineLevel="0" max="3" min="3" style="0" width="60"/>
  </cols>
  <sheetData>
    <row r="1" customFormat="false" ht="15" hidden="false" customHeight="false" outlineLevel="0" collapsed="false">
      <c r="A1" s="8" t="s">
        <v>430</v>
      </c>
    </row>
    <row r="3" customFormat="false" ht="15" hidden="false" customHeight="false" outlineLevel="0" collapsed="false">
      <c r="A3" s="9" t="s">
        <v>431</v>
      </c>
    </row>
    <row r="4" customFormat="false" ht="60" hidden="false" customHeight="true" outlineLevel="0" collapsed="false">
      <c r="A4" s="10" t="s">
        <v>432</v>
      </c>
      <c r="B4" s="10"/>
      <c r="C4" s="10"/>
    </row>
    <row r="5" customFormat="false" ht="60" hidden="false" customHeight="true" outlineLevel="0" collapsed="false">
      <c r="A5" s="10" t="s">
        <v>433</v>
      </c>
      <c r="B5" s="10"/>
      <c r="C5" s="10"/>
    </row>
    <row r="7" customFormat="false" ht="15" hidden="false" customHeight="false" outlineLevel="0" collapsed="false">
      <c r="A7" s="9" t="s">
        <v>434</v>
      </c>
    </row>
    <row r="8" customFormat="false" ht="15" hidden="false" customHeight="false" outlineLevel="0" collapsed="false">
      <c r="A8" s="11" t="s">
        <v>435</v>
      </c>
      <c r="B8" s="11" t="s">
        <v>436</v>
      </c>
      <c r="C8" s="11"/>
    </row>
    <row r="9" customFormat="false" ht="30" hidden="false" customHeight="true" outlineLevel="0" collapsed="false">
      <c r="A9" s="12" t="s">
        <v>437</v>
      </c>
      <c r="B9" s="13" t="s">
        <v>438</v>
      </c>
      <c r="C9" s="13"/>
    </row>
    <row r="10" customFormat="false" ht="30" hidden="false" customHeight="true" outlineLevel="0" collapsed="false">
      <c r="A10" s="12" t="s">
        <v>439</v>
      </c>
      <c r="B10" s="13" t="s">
        <v>440</v>
      </c>
      <c r="C10" s="13"/>
    </row>
    <row r="11" customFormat="false" ht="30" hidden="false" customHeight="true" outlineLevel="0" collapsed="false">
      <c r="A11" s="12" t="s">
        <v>441</v>
      </c>
      <c r="B11" s="13" t="s">
        <v>442</v>
      </c>
      <c r="C11" s="13"/>
    </row>
    <row r="12" customFormat="false" ht="30" hidden="false" customHeight="true" outlineLevel="0" collapsed="false">
      <c r="A12" s="12" t="s">
        <v>443</v>
      </c>
      <c r="B12" s="13" t="s">
        <v>444</v>
      </c>
      <c r="C12" s="13"/>
    </row>
    <row r="13" customFormat="false" ht="30" hidden="false" customHeight="true" outlineLevel="0" collapsed="false">
      <c r="A13" s="12" t="s">
        <v>445</v>
      </c>
      <c r="B13" s="13" t="s">
        <v>446</v>
      </c>
      <c r="C13" s="13"/>
    </row>
    <row r="14" customFormat="false" ht="30" hidden="false" customHeight="true" outlineLevel="0" collapsed="false">
      <c r="A14" s="12" t="s">
        <v>447</v>
      </c>
      <c r="B14" s="13" t="s">
        <v>448</v>
      </c>
      <c r="C14" s="13"/>
    </row>
    <row r="15" customFormat="false" ht="30" hidden="false" customHeight="true" outlineLevel="0" collapsed="false">
      <c r="A15" s="12" t="s">
        <v>449</v>
      </c>
      <c r="B15" s="13" t="s">
        <v>450</v>
      </c>
      <c r="C15" s="13"/>
    </row>
    <row r="17" customFormat="false" ht="15" hidden="false" customHeight="false" outlineLevel="0" collapsed="false">
      <c r="A17" s="9" t="s">
        <v>451</v>
      </c>
    </row>
    <row r="18" customFormat="false" ht="30" hidden="false" customHeight="true" outlineLevel="0" collapsed="false">
      <c r="A18" s="10" t="s">
        <v>452</v>
      </c>
      <c r="B18" s="10"/>
      <c r="C18" s="10"/>
    </row>
    <row r="19" customFormat="false" ht="30" hidden="false" customHeight="true" outlineLevel="0" collapsed="false">
      <c r="A19" s="10" t="s">
        <v>453</v>
      </c>
      <c r="B19" s="10"/>
      <c r="C19" s="10"/>
    </row>
    <row r="20" customFormat="false" ht="60" hidden="false" customHeight="true" outlineLevel="0" collapsed="false">
      <c r="A20" s="10" t="s">
        <v>454</v>
      </c>
      <c r="B20" s="10"/>
      <c r="C20" s="10"/>
    </row>
    <row r="21" customFormat="false" ht="45" hidden="false" customHeight="true" outlineLevel="0" collapsed="false">
      <c r="A21" s="10" t="s">
        <v>455</v>
      </c>
      <c r="B21" s="10"/>
      <c r="C21" s="10"/>
    </row>
    <row r="22" customFormat="false" ht="45" hidden="false" customHeight="true" outlineLevel="0" collapsed="false">
      <c r="A22" s="10" t="s">
        <v>456</v>
      </c>
      <c r="B22" s="10"/>
      <c r="C22" s="10"/>
    </row>
    <row r="23" customFormat="false" ht="45" hidden="false" customHeight="true" outlineLevel="0" collapsed="false">
      <c r="A23" s="10" t="s">
        <v>457</v>
      </c>
      <c r="B23" s="10"/>
      <c r="C23" s="10"/>
    </row>
    <row r="25" customFormat="false" ht="15" hidden="false" customHeight="false" outlineLevel="0" collapsed="false">
      <c r="A25" s="9" t="s">
        <v>458</v>
      </c>
    </row>
    <row r="26" customFormat="false" ht="30" hidden="false" customHeight="true" outlineLevel="0" collapsed="false">
      <c r="A26" s="10" t="s">
        <v>459</v>
      </c>
      <c r="B26" s="10"/>
      <c r="C26" s="10"/>
    </row>
    <row r="27" customFormat="false" ht="30" hidden="false" customHeight="true" outlineLevel="0" collapsed="false">
      <c r="A27" s="10" t="s">
        <v>460</v>
      </c>
      <c r="B27" s="10"/>
      <c r="C27" s="10"/>
    </row>
    <row r="28" customFormat="false" ht="45" hidden="false" customHeight="true" outlineLevel="0" collapsed="false">
      <c r="A28" s="10" t="s">
        <v>461</v>
      </c>
      <c r="B28" s="10"/>
      <c r="C28" s="10"/>
    </row>
    <row r="29" customFormat="false" ht="30" hidden="false" customHeight="true" outlineLevel="0" collapsed="false">
      <c r="A29" s="10" t="s">
        <v>462</v>
      </c>
      <c r="B29" s="10"/>
      <c r="C29" s="10"/>
    </row>
    <row r="30" customFormat="false" ht="45" hidden="false" customHeight="true" outlineLevel="0" collapsed="false">
      <c r="A30" s="10" t="s">
        <v>463</v>
      </c>
      <c r="B30" s="10"/>
      <c r="C30" s="10"/>
    </row>
    <row r="31" customFormat="false" ht="15" hidden="false" customHeight="true" outlineLevel="0" collapsed="false">
      <c r="A31" s="10" t="s">
        <v>464</v>
      </c>
      <c r="B31" s="10"/>
      <c r="C31" s="10"/>
    </row>
    <row r="33" customFormat="false" ht="15" hidden="false" customHeight="false" outlineLevel="0" collapsed="false">
      <c r="A33" s="9" t="s">
        <v>465</v>
      </c>
    </row>
    <row r="34" customFormat="false" ht="15" hidden="false" customHeight="false" outlineLevel="0" collapsed="false">
      <c r="A34" s="11" t="s">
        <v>466</v>
      </c>
      <c r="B34" s="11" t="s">
        <v>467</v>
      </c>
      <c r="C34" s="11" t="s">
        <v>468</v>
      </c>
    </row>
    <row r="35" customFormat="false" ht="15" hidden="false" customHeight="false" outlineLevel="0" collapsed="false">
      <c r="A35" s="12" t="s">
        <v>469</v>
      </c>
      <c r="B35" s="14" t="n">
        <f aca="false">COUNTA(tax!A2:A23)</f>
        <v>22</v>
      </c>
      <c r="C35" s="12"/>
    </row>
    <row r="36" customFormat="false" ht="15" hidden="false" customHeight="false" outlineLevel="0" collapsed="false">
      <c r="A36" s="12" t="s">
        <v>470</v>
      </c>
      <c r="B36" s="14" t="n">
        <f aca="false">IF(AND(COUNTA(coord!A2:A23)=22,COUNTA(amb!A2:A23)=22),22,"revisar")</f>
        <v>22</v>
      </c>
      <c r="C36" s="12" t="s">
        <v>471</v>
      </c>
    </row>
    <row r="37" customFormat="false" ht="15" hidden="false" customHeight="false" outlineLevel="0" collapsed="false">
      <c r="A37" s="12" t="s">
        <v>472</v>
      </c>
      <c r="B37" s="14" t="n">
        <f aca="false">COUNTA(tax!C1:BY1)</f>
        <v>75</v>
      </c>
      <c r="C37" s="12"/>
    </row>
    <row r="38" customFormat="false" ht="15" hidden="false" customHeight="false" outlineLevel="0" collapsed="false">
      <c r="A38" s="12" t="s">
        <v>473</v>
      </c>
      <c r="B38" s="14" t="n">
        <f aca="false">COUNTA(rasgos!B2:B76)</f>
        <v>75</v>
      </c>
      <c r="C38" s="12"/>
    </row>
    <row r="39" customFormat="false" ht="15" hidden="false" customHeight="false" outlineLevel="0" collapsed="false">
      <c r="A39" s="12" t="s">
        <v>474</v>
      </c>
      <c r="B39" s="14" t="str">
        <f aca="false">IF(COUNTA(tax!C1:BY1)=COUNTA(rasgos!B2:B76),"sí","no")</f>
        <v>sí</v>
      </c>
      <c r="C39" s="12" t="s">
        <v>475</v>
      </c>
    </row>
    <row r="40" customFormat="false" ht="15" hidden="false" customHeight="false" outlineLevel="0" collapsed="false">
      <c r="A40" s="12" t="s">
        <v>476</v>
      </c>
      <c r="B40" s="14" t="n">
        <f aca="false">COUNTA(tax_completa!C1:EU1)</f>
        <v>149</v>
      </c>
      <c r="C40" s="12" t="s">
        <v>477</v>
      </c>
    </row>
    <row r="41" customFormat="false" ht="15" hidden="false" customHeight="false" outlineLevel="0" collapsed="false">
      <c r="A41" s="12" t="s">
        <v>478</v>
      </c>
      <c r="B41" s="14" t="n">
        <f aca="false">SUM(tax!C2:BY23)</f>
        <v>1762</v>
      </c>
      <c r="C41" s="12"/>
    </row>
    <row r="42" customFormat="false" ht="15" hidden="false" customHeight="false" outlineLevel="0" collapsed="false">
      <c r="A42" s="12" t="s">
        <v>479</v>
      </c>
      <c r="B42" s="14" t="n">
        <f aca="false">SUM(tax_completa!C2:EU23)</f>
        <v>3323</v>
      </c>
      <c r="C42" s="12"/>
    </row>
    <row r="43" customFormat="false" ht="15" hidden="false" customHeight="false" outlineLevel="0" collapsed="false">
      <c r="A43" s="12" t="s">
        <v>480</v>
      </c>
      <c r="B43" s="15" t="n">
        <f aca="false">B41/B42</f>
        <v>0.530243755642492</v>
      </c>
      <c r="C43" s="12" t="s">
        <v>481</v>
      </c>
    </row>
    <row r="44" customFormat="false" ht="15" hidden="false" customHeight="false" outlineLevel="0" collapsed="false">
      <c r="A44" s="12" t="s">
        <v>482</v>
      </c>
      <c r="B44" s="14" t="n">
        <f aca="false">COUNTIF(nombres!D2:D150,"con rasgos (nombre exacto)")</f>
        <v>73</v>
      </c>
      <c r="C44" s="12"/>
    </row>
    <row r="45" customFormat="false" ht="15" hidden="false" customHeight="false" outlineLevel="0" collapsed="false">
      <c r="A45" s="12" t="s">
        <v>483</v>
      </c>
      <c r="B45" s="14" t="n">
        <f aca="false">COUNTIF(nombres!D2:D150,"con rasgos (variante ortográfica corregida)")</f>
        <v>2</v>
      </c>
      <c r="C45" s="12"/>
    </row>
    <row r="46" customFormat="false" ht="15" hidden="false" customHeight="false" outlineLevel="0" collapsed="false">
      <c r="A46" s="12" t="s">
        <v>484</v>
      </c>
      <c r="B46" s="14" t="n">
        <f aca="false">COUNTIF(nombres!D2:D150,"sin rasgos (nombre no encontrado en Quimbayo)")</f>
        <v>61</v>
      </c>
      <c r="C46" s="12"/>
    </row>
    <row r="47" customFormat="false" ht="15" hidden="false" customHeight="false" outlineLevel="0" collapsed="false">
      <c r="A47" s="12" t="s">
        <v>485</v>
      </c>
      <c r="B47" s="14" t="n">
        <f aca="false">COUNTIF(nombres!D2:D150,"sin rasgos (morfoespecie)")</f>
        <v>13</v>
      </c>
      <c r="C47" s="12"/>
    </row>
    <row r="48" customFormat="false" ht="15" hidden="false" customHeight="false" outlineLevel="0" collapsed="false">
      <c r="A48" s="12" t="s">
        <v>486</v>
      </c>
      <c r="B48" s="14" t="n">
        <f aca="false">SUM(rasgos!I2:I76)</f>
        <v>49</v>
      </c>
      <c r="C48" s="12"/>
    </row>
    <row r="49" customFormat="false" ht="15" hidden="false" customHeight="false" outlineLevel="0" collapsed="false">
      <c r="A49" s="12" t="s">
        <v>487</v>
      </c>
      <c r="B49" s="14" t="n">
        <f aca="false">SUM(rasgos!J2:J76)</f>
        <v>16</v>
      </c>
      <c r="C49" s="12"/>
    </row>
    <row r="50" customFormat="false" ht="15" hidden="false" customHeight="false" outlineLevel="0" collapsed="false">
      <c r="A50" s="12" t="s">
        <v>488</v>
      </c>
      <c r="B50" s="14" t="n">
        <f aca="false">SUM(rasgos!K2:K76)</f>
        <v>7</v>
      </c>
      <c r="C50" s="12"/>
    </row>
    <row r="51" customFormat="false" ht="15" hidden="false" customHeight="false" outlineLevel="0" collapsed="false">
      <c r="A51" s="12" t="s">
        <v>489</v>
      </c>
      <c r="B51" s="14" t="n">
        <f aca="false">SUM(rasgos!G2:G76)</f>
        <v>2</v>
      </c>
      <c r="C51" s="12"/>
    </row>
    <row r="52" customFormat="false" ht="15" hidden="false" customHeight="false" outlineLevel="0" collapsed="false">
      <c r="A52" s="12" t="s">
        <v>490</v>
      </c>
      <c r="B52" s="14" t="n">
        <f aca="false">SUM(rasgos!H2:H76)</f>
        <v>1</v>
      </c>
      <c r="C52" s="12"/>
    </row>
  </sheetData>
  <mergeCells count="21">
    <mergeCell ref="A4:C4"/>
    <mergeCell ref="A5:C5"/>
    <mergeCell ref="B9:C9"/>
    <mergeCell ref="B10:C10"/>
    <mergeCell ref="B11:C11"/>
    <mergeCell ref="B12:C12"/>
    <mergeCell ref="B13:C13"/>
    <mergeCell ref="B14:C14"/>
    <mergeCell ref="B15:C15"/>
    <mergeCell ref="A18:C18"/>
    <mergeCell ref="A19:C19"/>
    <mergeCell ref="A20:C20"/>
    <mergeCell ref="A21:C21"/>
    <mergeCell ref="A22:C22"/>
    <mergeCell ref="A23:C23"/>
    <mergeCell ref="A26:C26"/>
    <mergeCell ref="A27:C27"/>
    <mergeCell ref="A28:C28"/>
    <mergeCell ref="A29:C29"/>
    <mergeCell ref="A30:C30"/>
    <mergeCell ref="A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2026-09-20T22:29:39Z</dcterms:created>
  <dc:creator>openpyxl</dc:creator>
  <dc:description/>
  <dc:language>en-US</dc:language>
  <cp:lastModifiedBy/>
  <dcterms:modified xsi:type="dcterms:W3CDTF">2026-09-20T22:29:39Z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